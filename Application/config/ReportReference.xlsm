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EST-AUTOMATION\AT Execution ENV Tools\ATester\config\"/>
    </mc:Choice>
  </mc:AlternateContent>
  <bookViews>
    <workbookView xWindow="240" yWindow="165" windowWidth="14805" windowHeight="7950" tabRatio="814"/>
  </bookViews>
  <sheets>
    <sheet name="Summary" sheetId="1" r:id="rId1"/>
    <sheet name="Final Report" sheetId="4" r:id="rId2"/>
    <sheet name="Legend" sheetId="2" r:id="rId3"/>
    <sheet name="BPT ownership" sheetId="3" r:id="rId4"/>
    <sheet name="SaveAsJsonOfJIRA" sheetId="5" r:id="rId5"/>
  </sheets>
  <definedNames>
    <definedName name="_xlnm._FilterDatabase" localSheetId="3" hidden="1">'BPT ownership'!$A$1:$C$250</definedName>
    <definedName name="_xlnm._FilterDatabase" localSheetId="0" hidden="1">Summary!$A$11:$CP$11</definedName>
  </definedNames>
  <calcPr calcId="152511"/>
</workbook>
</file>

<file path=xl/calcChain.xml><?xml version="1.0" encoding="utf-8"?>
<calcChain xmlns="http://schemas.openxmlformats.org/spreadsheetml/2006/main">
  <c r="J1305" i="1" l="1"/>
  <c r="J1304" i="1"/>
  <c r="J1303" i="1"/>
  <c r="J1302" i="1"/>
  <c r="J1301" i="1"/>
  <c r="J1300" i="1"/>
  <c r="J1299" i="1"/>
  <c r="J1298" i="1"/>
  <c r="J1297" i="1"/>
  <c r="J1296" i="1"/>
  <c r="J1295" i="1"/>
  <c r="J1294" i="1"/>
  <c r="J1293" i="1"/>
  <c r="J1292" i="1"/>
  <c r="J1291" i="1"/>
  <c r="J1290" i="1"/>
  <c r="J1289" i="1"/>
  <c r="J1288" i="1"/>
  <c r="J1287" i="1"/>
  <c r="J1286" i="1"/>
  <c r="J1285" i="1"/>
  <c r="J1284" i="1"/>
  <c r="J1283" i="1"/>
  <c r="J1282" i="1"/>
  <c r="J1281" i="1"/>
  <c r="J1280" i="1"/>
  <c r="J1279" i="1"/>
  <c r="J1278" i="1"/>
  <c r="J1277" i="1"/>
  <c r="J1276" i="1"/>
  <c r="J1275" i="1"/>
  <c r="J1274" i="1"/>
  <c r="J1273" i="1"/>
  <c r="J1272" i="1"/>
  <c r="J1271" i="1"/>
  <c r="J1270" i="1"/>
  <c r="J1269" i="1"/>
  <c r="J1268" i="1"/>
  <c r="J1267" i="1"/>
  <c r="J1266" i="1"/>
  <c r="J1265" i="1"/>
  <c r="J1264" i="1"/>
  <c r="J1263" i="1"/>
  <c r="J1262" i="1"/>
  <c r="J1261" i="1"/>
  <c r="J1260" i="1"/>
  <c r="J1259" i="1"/>
  <c r="J1258" i="1"/>
  <c r="J1257" i="1"/>
  <c r="J1256" i="1"/>
  <c r="J1255" i="1"/>
  <c r="J1254" i="1"/>
  <c r="J1253" i="1"/>
  <c r="J1252" i="1"/>
  <c r="J1251" i="1"/>
  <c r="J1250" i="1"/>
  <c r="J1249" i="1"/>
  <c r="J1248" i="1"/>
  <c r="J1247" i="1"/>
  <c r="J1246" i="1"/>
  <c r="J1245" i="1"/>
  <c r="J1244" i="1"/>
  <c r="J1243" i="1"/>
  <c r="J1242" i="1"/>
  <c r="J1241" i="1"/>
  <c r="J1240" i="1"/>
  <c r="J1239" i="1"/>
  <c r="J1238" i="1"/>
  <c r="J1237" i="1"/>
  <c r="J1236" i="1"/>
  <c r="J1235" i="1"/>
  <c r="J1234" i="1"/>
  <c r="J1233" i="1"/>
  <c r="J1232" i="1"/>
  <c r="J1231" i="1"/>
  <c r="J1230" i="1"/>
  <c r="J1229" i="1"/>
  <c r="J1228" i="1"/>
  <c r="J1227" i="1"/>
  <c r="J1226" i="1"/>
  <c r="J1225" i="1"/>
  <c r="J1224" i="1"/>
  <c r="J1223" i="1"/>
  <c r="J1222" i="1"/>
  <c r="J1221" i="1"/>
  <c r="J1220" i="1"/>
  <c r="J1219" i="1"/>
  <c r="J1218" i="1"/>
  <c r="J1217" i="1"/>
  <c r="J1216" i="1"/>
  <c r="J1215" i="1"/>
  <c r="J1214" i="1"/>
  <c r="J1213" i="1"/>
  <c r="J1212" i="1"/>
  <c r="J1211" i="1"/>
  <c r="J1210" i="1"/>
  <c r="J1209" i="1"/>
  <c r="J1208" i="1"/>
  <c r="J1207" i="1"/>
  <c r="J1206" i="1"/>
  <c r="J1205" i="1"/>
  <c r="J1204" i="1"/>
  <c r="J1203" i="1"/>
  <c r="J1202" i="1"/>
  <c r="J1201" i="1"/>
  <c r="J1200" i="1"/>
  <c r="J1199" i="1"/>
  <c r="J1198" i="1"/>
  <c r="J1197" i="1"/>
  <c r="J1196" i="1"/>
  <c r="J1195" i="1"/>
  <c r="J1194" i="1"/>
  <c r="J1193" i="1"/>
  <c r="J1192" i="1"/>
  <c r="J1191" i="1"/>
  <c r="J1190" i="1"/>
  <c r="J1189" i="1"/>
  <c r="J1188" i="1"/>
  <c r="J1187" i="1"/>
  <c r="J1186" i="1"/>
  <c r="J1185" i="1"/>
  <c r="J1184" i="1"/>
  <c r="J1183" i="1"/>
  <c r="J1182" i="1"/>
  <c r="J1181" i="1"/>
  <c r="J1180" i="1"/>
  <c r="J1179" i="1"/>
  <c r="J1178" i="1"/>
  <c r="J1177" i="1"/>
  <c r="J1176" i="1"/>
  <c r="J1175" i="1"/>
  <c r="J1174" i="1"/>
  <c r="J1173" i="1"/>
  <c r="J1172" i="1"/>
  <c r="J1171" i="1"/>
  <c r="J1170" i="1"/>
  <c r="J1169" i="1"/>
  <c r="J1168" i="1"/>
  <c r="J1167" i="1"/>
  <c r="J1166" i="1"/>
  <c r="J1165" i="1"/>
  <c r="J1164" i="1"/>
  <c r="J1163" i="1"/>
  <c r="J1162" i="1"/>
  <c r="J1161" i="1"/>
  <c r="J1160" i="1"/>
  <c r="J1159" i="1"/>
  <c r="J1158" i="1"/>
  <c r="J1157" i="1"/>
  <c r="J1156" i="1"/>
  <c r="J1155" i="1"/>
  <c r="J1154" i="1"/>
  <c r="J1153" i="1"/>
  <c r="J1152" i="1"/>
  <c r="J1151" i="1"/>
  <c r="J1150" i="1"/>
  <c r="J1149" i="1"/>
  <c r="J1148" i="1"/>
  <c r="J1147" i="1"/>
  <c r="J1146" i="1"/>
  <c r="J1145" i="1"/>
  <c r="J1144" i="1"/>
  <c r="J1143" i="1"/>
  <c r="J1142" i="1"/>
  <c r="J1141" i="1"/>
  <c r="J1140" i="1"/>
  <c r="J1139" i="1"/>
  <c r="J1138" i="1"/>
  <c r="J1137" i="1"/>
  <c r="J1136" i="1"/>
  <c r="J1135" i="1"/>
  <c r="J1134" i="1"/>
  <c r="J1133" i="1"/>
  <c r="J1132" i="1"/>
  <c r="J1131" i="1"/>
  <c r="J1130" i="1"/>
  <c r="J1129" i="1"/>
  <c r="J1128" i="1"/>
  <c r="J1127" i="1"/>
  <c r="J1126" i="1"/>
  <c r="J1125" i="1"/>
  <c r="J1124" i="1"/>
  <c r="J1123" i="1"/>
  <c r="J1122" i="1"/>
  <c r="J1121" i="1"/>
  <c r="J1120" i="1"/>
  <c r="J1119" i="1"/>
  <c r="J1118" i="1"/>
  <c r="J1117" i="1"/>
  <c r="J1116" i="1"/>
  <c r="J1115" i="1"/>
  <c r="J1114" i="1"/>
  <c r="J1113" i="1"/>
  <c r="J1112" i="1"/>
  <c r="J1111" i="1"/>
  <c r="J1110" i="1"/>
  <c r="J1109" i="1"/>
  <c r="J1108" i="1"/>
  <c r="J1107" i="1"/>
  <c r="J1106" i="1"/>
  <c r="J1105" i="1"/>
  <c r="J1104" i="1"/>
  <c r="J1103" i="1"/>
  <c r="J1102" i="1"/>
  <c r="J1101" i="1"/>
  <c r="J1100" i="1"/>
  <c r="J1099" i="1"/>
  <c r="J1098" i="1"/>
  <c r="J1097" i="1"/>
  <c r="J1096" i="1"/>
  <c r="J1095" i="1"/>
  <c r="J1094" i="1"/>
  <c r="J1093" i="1"/>
  <c r="J1092" i="1"/>
  <c r="J1091" i="1"/>
  <c r="J1090" i="1"/>
  <c r="J1089" i="1"/>
  <c r="J1088" i="1"/>
  <c r="J1087" i="1"/>
  <c r="J1086" i="1"/>
  <c r="J1085" i="1"/>
  <c r="J1084" i="1"/>
  <c r="J1083" i="1"/>
  <c r="J1082" i="1"/>
  <c r="J1081" i="1"/>
  <c r="J1080" i="1"/>
  <c r="J1079" i="1"/>
  <c r="J1078" i="1"/>
  <c r="J1077" i="1"/>
  <c r="J1076" i="1"/>
  <c r="J1075" i="1"/>
  <c r="J1074" i="1"/>
  <c r="J1073" i="1"/>
  <c r="J1072" i="1"/>
  <c r="J1071" i="1"/>
  <c r="J1070" i="1"/>
  <c r="J1069" i="1"/>
  <c r="J1068" i="1"/>
  <c r="J1067" i="1"/>
  <c r="J1066" i="1"/>
  <c r="J1065" i="1"/>
  <c r="J1064" i="1"/>
  <c r="J1063" i="1"/>
  <c r="J1062" i="1"/>
  <c r="J1061" i="1"/>
  <c r="J1060" i="1"/>
  <c r="J1059" i="1"/>
  <c r="J1058" i="1"/>
  <c r="J1057" i="1"/>
  <c r="J1056" i="1"/>
  <c r="J1055" i="1"/>
  <c r="J1054" i="1"/>
  <c r="J1053" i="1"/>
  <c r="J1052" i="1"/>
  <c r="J1051" i="1"/>
  <c r="J1050" i="1"/>
  <c r="J1049" i="1"/>
  <c r="J1048" i="1"/>
  <c r="J1047" i="1"/>
  <c r="J1046" i="1"/>
  <c r="J1045" i="1"/>
  <c r="J1044" i="1"/>
  <c r="J1043" i="1"/>
  <c r="J1042" i="1"/>
  <c r="J1041" i="1"/>
  <c r="J1040" i="1"/>
  <c r="J1039" i="1"/>
  <c r="J1038" i="1"/>
  <c r="J1037" i="1"/>
  <c r="J1036" i="1"/>
  <c r="J1035" i="1"/>
  <c r="J1034" i="1"/>
  <c r="J1033" i="1"/>
  <c r="J1032" i="1"/>
  <c r="J1031" i="1"/>
  <c r="J1030" i="1"/>
  <c r="J1029" i="1"/>
  <c r="J1028" i="1"/>
  <c r="J1027" i="1"/>
  <c r="J1026" i="1"/>
  <c r="J1025" i="1"/>
  <c r="J1024" i="1"/>
  <c r="J1023" i="1"/>
  <c r="J1022" i="1"/>
  <c r="J1021" i="1"/>
  <c r="J1020" i="1"/>
  <c r="J1019" i="1"/>
  <c r="J1018" i="1"/>
  <c r="J1017" i="1"/>
  <c r="J1016" i="1"/>
  <c r="J1015" i="1"/>
  <c r="J1014" i="1"/>
  <c r="J1013" i="1"/>
  <c r="J1012" i="1"/>
  <c r="J1011" i="1"/>
  <c r="J1010" i="1"/>
  <c r="J1009" i="1"/>
  <c r="J1008" i="1"/>
  <c r="J1007" i="1"/>
  <c r="J1006" i="1"/>
  <c r="J1005" i="1"/>
  <c r="J1004" i="1"/>
  <c r="J1003" i="1"/>
  <c r="J1002" i="1"/>
  <c r="J1001" i="1"/>
  <c r="J1000" i="1"/>
  <c r="J999" i="1"/>
  <c r="J998" i="1"/>
  <c r="J997" i="1"/>
  <c r="J996" i="1"/>
  <c r="J995" i="1"/>
  <c r="J994" i="1"/>
  <c r="J993" i="1"/>
  <c r="J992" i="1"/>
  <c r="J991" i="1"/>
  <c r="J990" i="1"/>
  <c r="J989" i="1"/>
  <c r="J988" i="1"/>
  <c r="J987" i="1"/>
  <c r="J986" i="1"/>
  <c r="J985" i="1"/>
  <c r="K984" i="1"/>
  <c r="J984" i="1"/>
  <c r="K983" i="1"/>
  <c r="J983" i="1"/>
  <c r="K982" i="1"/>
  <c r="J982" i="1"/>
  <c r="K981" i="1"/>
  <c r="J981" i="1"/>
  <c r="K980" i="1"/>
  <c r="J980" i="1"/>
  <c r="K979" i="1"/>
  <c r="J979" i="1"/>
  <c r="K978" i="1"/>
  <c r="J978" i="1"/>
  <c r="K977" i="1"/>
  <c r="J977" i="1"/>
  <c r="K976" i="1"/>
  <c r="J976" i="1"/>
  <c r="K975" i="1"/>
  <c r="J975" i="1"/>
  <c r="K974" i="1"/>
  <c r="J974" i="1"/>
  <c r="K973" i="1"/>
  <c r="J973" i="1"/>
  <c r="K972" i="1"/>
  <c r="J972" i="1"/>
  <c r="K971" i="1"/>
  <c r="J971" i="1"/>
  <c r="K970" i="1"/>
  <c r="J970" i="1"/>
  <c r="K969" i="1"/>
  <c r="J969" i="1"/>
  <c r="K968" i="1"/>
  <c r="J968" i="1"/>
  <c r="K967" i="1"/>
  <c r="J967" i="1"/>
  <c r="K966" i="1"/>
  <c r="J966" i="1"/>
  <c r="K965" i="1"/>
  <c r="J965" i="1"/>
  <c r="K964" i="1"/>
  <c r="J964" i="1"/>
  <c r="K963" i="1"/>
  <c r="J963" i="1"/>
  <c r="K962" i="1"/>
  <c r="J962" i="1"/>
  <c r="K961" i="1"/>
  <c r="J961" i="1"/>
  <c r="K960" i="1"/>
  <c r="J960" i="1"/>
  <c r="K959" i="1"/>
  <c r="J959" i="1"/>
  <c r="K958" i="1"/>
  <c r="J958" i="1"/>
  <c r="K957" i="1"/>
  <c r="J957" i="1"/>
  <c r="K956" i="1"/>
  <c r="J956" i="1"/>
  <c r="K955" i="1"/>
  <c r="J955" i="1"/>
  <c r="K954" i="1"/>
  <c r="J954" i="1"/>
  <c r="K953" i="1"/>
  <c r="J953" i="1"/>
  <c r="K952" i="1"/>
  <c r="J952" i="1"/>
  <c r="K951" i="1"/>
  <c r="J951" i="1"/>
  <c r="K950" i="1"/>
  <c r="J950" i="1"/>
  <c r="K949" i="1"/>
  <c r="J949" i="1"/>
  <c r="K948" i="1"/>
  <c r="J948" i="1"/>
  <c r="K947" i="1"/>
  <c r="J947" i="1"/>
  <c r="K946" i="1"/>
  <c r="J946" i="1"/>
  <c r="K945" i="1"/>
  <c r="J945" i="1"/>
  <c r="K944" i="1"/>
  <c r="J944" i="1"/>
  <c r="K943" i="1"/>
  <c r="J943" i="1"/>
  <c r="K942" i="1"/>
  <c r="J942" i="1"/>
  <c r="K941" i="1"/>
  <c r="J941" i="1"/>
  <c r="K940" i="1"/>
  <c r="J940" i="1"/>
  <c r="K939" i="1"/>
  <c r="J939" i="1"/>
  <c r="K938" i="1"/>
  <c r="J938" i="1"/>
  <c r="K937" i="1"/>
  <c r="J937" i="1"/>
  <c r="K936" i="1"/>
  <c r="J936" i="1"/>
  <c r="K935" i="1"/>
  <c r="J935" i="1"/>
  <c r="K934" i="1"/>
  <c r="J934" i="1"/>
  <c r="K933" i="1"/>
  <c r="J933" i="1"/>
  <c r="K932" i="1"/>
  <c r="J932" i="1"/>
  <c r="K931" i="1"/>
  <c r="J931" i="1"/>
  <c r="K930" i="1"/>
  <c r="J930" i="1"/>
  <c r="K929" i="1"/>
  <c r="J929" i="1"/>
  <c r="K928" i="1"/>
  <c r="J928" i="1"/>
  <c r="K927" i="1"/>
  <c r="J927" i="1"/>
  <c r="K926" i="1"/>
  <c r="J926" i="1"/>
  <c r="K925" i="1"/>
  <c r="J925" i="1"/>
  <c r="K924" i="1"/>
  <c r="J924" i="1"/>
  <c r="K923" i="1"/>
  <c r="J923" i="1"/>
  <c r="K922" i="1"/>
  <c r="J922" i="1"/>
  <c r="K921" i="1"/>
  <c r="J921" i="1"/>
  <c r="K920" i="1"/>
  <c r="J920" i="1"/>
  <c r="K919" i="1"/>
  <c r="J919" i="1"/>
  <c r="K918" i="1"/>
  <c r="J918" i="1"/>
  <c r="K917" i="1"/>
  <c r="J917" i="1"/>
  <c r="K916" i="1"/>
  <c r="J916" i="1"/>
  <c r="K915" i="1"/>
  <c r="J915" i="1"/>
  <c r="K914" i="1"/>
  <c r="J914" i="1"/>
  <c r="K913" i="1"/>
  <c r="J913" i="1"/>
  <c r="K912" i="1"/>
  <c r="J912" i="1"/>
  <c r="K911" i="1"/>
  <c r="J911" i="1"/>
  <c r="K910" i="1"/>
  <c r="J910" i="1"/>
  <c r="K909" i="1"/>
  <c r="J909" i="1"/>
  <c r="K908" i="1"/>
  <c r="J908" i="1"/>
  <c r="K907" i="1"/>
  <c r="J907" i="1"/>
  <c r="K906" i="1"/>
  <c r="J906" i="1"/>
  <c r="K905" i="1"/>
  <c r="J905" i="1"/>
  <c r="K904" i="1"/>
  <c r="J904" i="1"/>
  <c r="K903" i="1"/>
  <c r="J903" i="1"/>
  <c r="K902" i="1"/>
  <c r="J902" i="1"/>
  <c r="K901" i="1"/>
  <c r="J901" i="1"/>
  <c r="K900" i="1"/>
  <c r="J900" i="1"/>
  <c r="K899" i="1"/>
  <c r="J899" i="1"/>
  <c r="K898" i="1"/>
  <c r="J898" i="1"/>
  <c r="K897" i="1"/>
  <c r="J897" i="1"/>
  <c r="K896" i="1"/>
  <c r="J896" i="1"/>
  <c r="K895" i="1"/>
  <c r="J895" i="1"/>
  <c r="K894" i="1"/>
  <c r="J894" i="1"/>
  <c r="K893" i="1"/>
  <c r="J893" i="1"/>
  <c r="K892" i="1"/>
  <c r="J892" i="1"/>
  <c r="K891" i="1"/>
  <c r="J891" i="1"/>
  <c r="K890" i="1"/>
  <c r="J890" i="1"/>
  <c r="K889" i="1"/>
  <c r="J889" i="1"/>
  <c r="K888" i="1"/>
  <c r="J888" i="1"/>
  <c r="K887" i="1"/>
  <c r="J887" i="1"/>
  <c r="K886" i="1"/>
  <c r="J886" i="1"/>
  <c r="K885" i="1"/>
  <c r="J885" i="1"/>
  <c r="K884" i="1"/>
  <c r="J884" i="1"/>
  <c r="K883" i="1"/>
  <c r="J883" i="1"/>
  <c r="K882" i="1"/>
  <c r="J882" i="1"/>
  <c r="K881" i="1"/>
  <c r="J881" i="1"/>
  <c r="K880" i="1"/>
  <c r="J880" i="1"/>
  <c r="K879" i="1"/>
  <c r="J879" i="1"/>
  <c r="K878" i="1"/>
  <c r="J878" i="1"/>
  <c r="K877" i="1"/>
  <c r="J877" i="1"/>
  <c r="K876" i="1"/>
  <c r="J876" i="1"/>
  <c r="K875" i="1"/>
  <c r="J875" i="1"/>
  <c r="K874" i="1"/>
  <c r="J874" i="1"/>
  <c r="K873" i="1"/>
  <c r="J873" i="1"/>
  <c r="K872" i="1"/>
  <c r="J872" i="1"/>
  <c r="K871" i="1"/>
  <c r="J871" i="1"/>
  <c r="K870" i="1"/>
  <c r="J870" i="1"/>
  <c r="K869" i="1"/>
  <c r="J869" i="1"/>
  <c r="K868" i="1"/>
  <c r="J868" i="1"/>
  <c r="K867" i="1"/>
  <c r="J867" i="1"/>
  <c r="K866" i="1"/>
  <c r="J866" i="1"/>
  <c r="K865" i="1"/>
  <c r="J865" i="1"/>
  <c r="K864" i="1"/>
  <c r="J864" i="1"/>
  <c r="K863" i="1"/>
  <c r="J863" i="1"/>
  <c r="K862" i="1"/>
  <c r="J862" i="1"/>
  <c r="K861" i="1"/>
  <c r="J861" i="1"/>
  <c r="K860" i="1"/>
  <c r="J860" i="1"/>
  <c r="K859" i="1"/>
  <c r="J859" i="1"/>
  <c r="K858" i="1"/>
  <c r="J858" i="1"/>
  <c r="K857" i="1"/>
  <c r="J857" i="1"/>
  <c r="K856" i="1"/>
  <c r="J856" i="1"/>
  <c r="K855" i="1"/>
  <c r="J855" i="1"/>
  <c r="K854" i="1"/>
  <c r="J854" i="1"/>
  <c r="K853" i="1"/>
  <c r="J853" i="1"/>
  <c r="K852" i="1"/>
  <c r="J852" i="1"/>
  <c r="K851" i="1"/>
  <c r="J851" i="1"/>
  <c r="K850" i="1"/>
  <c r="J850" i="1"/>
  <c r="K849" i="1"/>
  <c r="J849" i="1"/>
  <c r="K848" i="1"/>
  <c r="J848" i="1"/>
  <c r="K847" i="1"/>
  <c r="J847" i="1"/>
  <c r="K846" i="1"/>
  <c r="J846" i="1"/>
  <c r="K845" i="1"/>
  <c r="J845" i="1"/>
  <c r="K844" i="1"/>
  <c r="J844" i="1"/>
  <c r="K843" i="1"/>
  <c r="J843" i="1"/>
  <c r="K842" i="1"/>
  <c r="J842" i="1"/>
  <c r="K841" i="1"/>
  <c r="J841" i="1"/>
  <c r="K840" i="1"/>
  <c r="J840" i="1"/>
  <c r="K839" i="1"/>
  <c r="J839" i="1"/>
  <c r="K838" i="1"/>
  <c r="J838" i="1"/>
  <c r="K837" i="1"/>
  <c r="J837" i="1"/>
  <c r="K836" i="1"/>
  <c r="J836" i="1"/>
  <c r="K835" i="1"/>
  <c r="J835" i="1"/>
  <c r="K834" i="1"/>
  <c r="J834" i="1"/>
  <c r="K833" i="1"/>
  <c r="J833" i="1"/>
  <c r="K832" i="1"/>
  <c r="J832" i="1"/>
  <c r="K831" i="1"/>
  <c r="J831" i="1"/>
  <c r="K830" i="1"/>
  <c r="J830" i="1"/>
  <c r="K829" i="1"/>
  <c r="J829" i="1"/>
  <c r="K828" i="1"/>
  <c r="J828" i="1"/>
  <c r="K827" i="1"/>
  <c r="J827" i="1"/>
  <c r="K826" i="1"/>
  <c r="J826" i="1"/>
  <c r="K825" i="1"/>
  <c r="J825" i="1"/>
  <c r="K824" i="1"/>
  <c r="J824" i="1"/>
  <c r="K823" i="1"/>
  <c r="J823" i="1"/>
  <c r="K822" i="1"/>
  <c r="J822" i="1"/>
  <c r="K821" i="1"/>
  <c r="J821" i="1"/>
  <c r="K820" i="1"/>
  <c r="J820" i="1"/>
  <c r="K819" i="1"/>
  <c r="J819" i="1"/>
  <c r="K818" i="1"/>
  <c r="J818" i="1"/>
  <c r="K817" i="1"/>
  <c r="J817" i="1"/>
  <c r="K816" i="1"/>
  <c r="J816" i="1"/>
  <c r="K815" i="1"/>
  <c r="J815" i="1"/>
  <c r="K814" i="1"/>
  <c r="J814" i="1"/>
  <c r="K813" i="1"/>
  <c r="J813" i="1"/>
  <c r="K812" i="1"/>
  <c r="J812" i="1"/>
  <c r="K811" i="1"/>
  <c r="J811" i="1"/>
  <c r="K810" i="1"/>
  <c r="J810" i="1"/>
  <c r="K809" i="1"/>
  <c r="J809" i="1"/>
  <c r="K808" i="1"/>
  <c r="J808" i="1"/>
  <c r="K807" i="1"/>
  <c r="J807" i="1"/>
  <c r="K806" i="1"/>
  <c r="J806" i="1"/>
  <c r="K805" i="1"/>
  <c r="J805" i="1"/>
  <c r="K804" i="1"/>
  <c r="J804" i="1"/>
  <c r="K803" i="1"/>
  <c r="J803" i="1"/>
  <c r="K802" i="1"/>
  <c r="J802" i="1"/>
  <c r="K801" i="1"/>
  <c r="J801" i="1"/>
  <c r="K800" i="1"/>
  <c r="J800" i="1"/>
  <c r="K799" i="1"/>
  <c r="J799" i="1"/>
  <c r="K798" i="1"/>
  <c r="J798" i="1"/>
  <c r="K797" i="1"/>
  <c r="J797" i="1"/>
  <c r="K796" i="1"/>
  <c r="J796" i="1"/>
  <c r="K795" i="1"/>
  <c r="J795" i="1"/>
  <c r="K794" i="1"/>
  <c r="J794" i="1"/>
  <c r="K793" i="1"/>
  <c r="J793" i="1"/>
  <c r="K792" i="1"/>
  <c r="J792" i="1"/>
  <c r="K791" i="1"/>
  <c r="J791" i="1"/>
  <c r="K790" i="1"/>
  <c r="J790" i="1"/>
  <c r="K789" i="1"/>
  <c r="J789" i="1"/>
  <c r="K788" i="1"/>
  <c r="J788" i="1"/>
  <c r="K787" i="1"/>
  <c r="J787" i="1"/>
  <c r="K786" i="1"/>
  <c r="J786" i="1"/>
  <c r="K785" i="1"/>
  <c r="J785" i="1"/>
  <c r="K784" i="1"/>
  <c r="J784" i="1"/>
  <c r="K783" i="1"/>
  <c r="J783" i="1"/>
  <c r="K782" i="1"/>
  <c r="J782" i="1"/>
  <c r="K781" i="1"/>
  <c r="J781" i="1"/>
  <c r="K780" i="1"/>
  <c r="J780" i="1"/>
  <c r="K779" i="1"/>
  <c r="J779" i="1"/>
  <c r="K778" i="1"/>
  <c r="J778" i="1"/>
  <c r="K777" i="1"/>
  <c r="J777" i="1"/>
  <c r="K776" i="1"/>
  <c r="J776" i="1"/>
  <c r="K775" i="1"/>
  <c r="J775" i="1"/>
  <c r="K774" i="1"/>
  <c r="J774" i="1"/>
  <c r="K773" i="1"/>
  <c r="J773" i="1"/>
  <c r="K772" i="1"/>
  <c r="J772" i="1"/>
  <c r="K771" i="1"/>
  <c r="J771" i="1"/>
  <c r="K770" i="1"/>
  <c r="J770" i="1"/>
  <c r="K769" i="1"/>
  <c r="J769" i="1"/>
  <c r="K768" i="1"/>
  <c r="J768" i="1"/>
  <c r="K767" i="1"/>
  <c r="J767" i="1"/>
  <c r="K766" i="1"/>
  <c r="J766" i="1"/>
  <c r="K765" i="1"/>
  <c r="J765" i="1"/>
  <c r="K764" i="1"/>
  <c r="J764" i="1"/>
  <c r="K763" i="1"/>
  <c r="J763" i="1"/>
  <c r="K762" i="1"/>
  <c r="J762" i="1"/>
  <c r="K761" i="1"/>
  <c r="J761" i="1"/>
  <c r="K760" i="1"/>
  <c r="J760" i="1"/>
  <c r="K759" i="1"/>
  <c r="J759" i="1"/>
  <c r="K758" i="1"/>
  <c r="J758" i="1"/>
  <c r="K757" i="1"/>
  <c r="J757" i="1"/>
  <c r="K756" i="1"/>
  <c r="J756" i="1"/>
  <c r="K755" i="1"/>
  <c r="J755" i="1"/>
  <c r="K754" i="1"/>
  <c r="J754" i="1"/>
  <c r="K753" i="1"/>
  <c r="J753" i="1"/>
  <c r="K752" i="1"/>
  <c r="J752" i="1"/>
  <c r="K751" i="1"/>
  <c r="J751" i="1"/>
  <c r="K750" i="1"/>
  <c r="J750" i="1"/>
  <c r="K749" i="1"/>
  <c r="J749" i="1"/>
  <c r="K748" i="1"/>
  <c r="J748" i="1"/>
  <c r="K747" i="1"/>
  <c r="J747" i="1"/>
  <c r="K746" i="1"/>
  <c r="J746" i="1"/>
  <c r="K745" i="1"/>
  <c r="J745" i="1"/>
  <c r="K744" i="1"/>
  <c r="J744" i="1"/>
  <c r="K743" i="1"/>
  <c r="J743" i="1"/>
  <c r="K742" i="1"/>
  <c r="J742" i="1"/>
  <c r="K741" i="1"/>
  <c r="J741" i="1"/>
  <c r="K740" i="1"/>
  <c r="J740" i="1"/>
  <c r="K739" i="1"/>
  <c r="J739" i="1"/>
  <c r="K738" i="1"/>
  <c r="J738" i="1"/>
  <c r="K737" i="1"/>
  <c r="J737" i="1"/>
  <c r="K736" i="1"/>
  <c r="J736" i="1"/>
  <c r="K735" i="1"/>
  <c r="J735" i="1"/>
  <c r="K734" i="1"/>
  <c r="J734" i="1"/>
  <c r="K733" i="1"/>
  <c r="J733" i="1"/>
  <c r="K732" i="1"/>
  <c r="J732" i="1"/>
  <c r="K731" i="1"/>
  <c r="J731" i="1"/>
  <c r="K730" i="1"/>
  <c r="J730" i="1"/>
  <c r="K729" i="1"/>
  <c r="J729" i="1"/>
  <c r="K728" i="1"/>
  <c r="J728" i="1"/>
  <c r="K727" i="1"/>
  <c r="J727" i="1"/>
  <c r="K726" i="1"/>
  <c r="J726" i="1"/>
  <c r="K725" i="1"/>
  <c r="J725" i="1"/>
  <c r="K724" i="1"/>
  <c r="J724" i="1"/>
  <c r="K723" i="1"/>
  <c r="J723" i="1"/>
  <c r="K722" i="1"/>
  <c r="J722" i="1"/>
  <c r="K721" i="1"/>
  <c r="J721" i="1"/>
  <c r="K720" i="1"/>
  <c r="J720" i="1"/>
  <c r="K719" i="1"/>
  <c r="J719" i="1"/>
  <c r="K718" i="1"/>
  <c r="J718" i="1"/>
  <c r="K717" i="1"/>
  <c r="J717" i="1"/>
  <c r="K716" i="1"/>
  <c r="J716" i="1"/>
  <c r="K715" i="1"/>
  <c r="J715" i="1"/>
  <c r="K714" i="1"/>
  <c r="J714" i="1"/>
  <c r="K713" i="1"/>
  <c r="J713" i="1"/>
  <c r="K712" i="1"/>
  <c r="J712" i="1"/>
  <c r="K711" i="1"/>
  <c r="J711" i="1"/>
  <c r="K710" i="1"/>
  <c r="J710" i="1"/>
  <c r="K709" i="1"/>
  <c r="J709" i="1"/>
  <c r="K708" i="1"/>
  <c r="J708" i="1"/>
  <c r="K707" i="1"/>
  <c r="J707" i="1"/>
  <c r="K706" i="1"/>
  <c r="J706" i="1"/>
  <c r="K705" i="1"/>
  <c r="J705" i="1"/>
  <c r="K704" i="1"/>
  <c r="J704" i="1"/>
  <c r="K703" i="1"/>
  <c r="J703" i="1"/>
  <c r="K702" i="1"/>
  <c r="J702" i="1"/>
  <c r="K701" i="1"/>
  <c r="J701" i="1"/>
  <c r="K700" i="1"/>
  <c r="J700" i="1"/>
  <c r="K699" i="1"/>
  <c r="J699" i="1"/>
  <c r="K698" i="1"/>
  <c r="J698" i="1"/>
  <c r="K697" i="1"/>
  <c r="J697" i="1"/>
  <c r="K696" i="1"/>
  <c r="J696" i="1"/>
  <c r="K695" i="1"/>
  <c r="J695" i="1"/>
  <c r="K694" i="1"/>
  <c r="J694" i="1"/>
  <c r="K693" i="1"/>
  <c r="J693" i="1"/>
  <c r="K692" i="1"/>
  <c r="J692" i="1"/>
  <c r="K691" i="1"/>
  <c r="J691" i="1"/>
  <c r="K690" i="1"/>
  <c r="J690" i="1"/>
  <c r="K689" i="1"/>
  <c r="J689" i="1"/>
  <c r="K688" i="1"/>
  <c r="J688" i="1"/>
  <c r="K687" i="1"/>
  <c r="J687" i="1"/>
  <c r="K686" i="1"/>
  <c r="J686" i="1"/>
  <c r="K685" i="1"/>
  <c r="J685" i="1"/>
  <c r="K684" i="1"/>
  <c r="J684" i="1"/>
  <c r="K683" i="1"/>
  <c r="J683" i="1"/>
  <c r="K682" i="1"/>
  <c r="J682" i="1"/>
  <c r="K681" i="1"/>
  <c r="J681" i="1"/>
  <c r="K680" i="1"/>
  <c r="J680" i="1"/>
  <c r="K679" i="1"/>
  <c r="J679" i="1"/>
  <c r="K678" i="1"/>
  <c r="J678" i="1"/>
  <c r="K677" i="1"/>
  <c r="J677" i="1"/>
  <c r="K676" i="1"/>
  <c r="J676" i="1"/>
  <c r="K675" i="1"/>
  <c r="J675" i="1"/>
  <c r="K674" i="1"/>
  <c r="J674" i="1"/>
  <c r="K673" i="1"/>
  <c r="J673" i="1"/>
  <c r="K672" i="1"/>
  <c r="J672" i="1"/>
  <c r="K671" i="1"/>
  <c r="J671" i="1"/>
  <c r="K670" i="1"/>
  <c r="J670" i="1"/>
  <c r="K669" i="1"/>
  <c r="J669" i="1"/>
  <c r="K668" i="1"/>
  <c r="J668" i="1"/>
  <c r="K667" i="1"/>
  <c r="J667" i="1"/>
  <c r="K666" i="1"/>
  <c r="J666" i="1"/>
  <c r="K665" i="1"/>
  <c r="J665" i="1"/>
  <c r="K664" i="1"/>
  <c r="J664" i="1"/>
  <c r="K663" i="1"/>
  <c r="J663" i="1"/>
  <c r="K662" i="1"/>
  <c r="J662" i="1"/>
  <c r="K661" i="1"/>
  <c r="J661" i="1"/>
  <c r="K660" i="1"/>
  <c r="J660" i="1"/>
  <c r="K659" i="1"/>
  <c r="J659" i="1"/>
  <c r="K658" i="1"/>
  <c r="J658" i="1"/>
  <c r="K657" i="1"/>
  <c r="J657" i="1"/>
  <c r="K656" i="1"/>
  <c r="J656" i="1"/>
  <c r="K655" i="1"/>
  <c r="J655" i="1"/>
  <c r="K654" i="1"/>
  <c r="J654" i="1"/>
  <c r="K653" i="1"/>
  <c r="J653" i="1"/>
  <c r="K652" i="1"/>
  <c r="J652" i="1"/>
  <c r="K651" i="1"/>
  <c r="J651" i="1"/>
  <c r="K650" i="1"/>
  <c r="J650" i="1"/>
  <c r="K649" i="1"/>
  <c r="J649" i="1"/>
  <c r="K648" i="1"/>
  <c r="J648" i="1"/>
  <c r="K647" i="1"/>
  <c r="J647" i="1"/>
  <c r="K646" i="1"/>
  <c r="J646" i="1"/>
  <c r="K645" i="1"/>
  <c r="J645" i="1"/>
  <c r="K644" i="1"/>
  <c r="J644" i="1"/>
  <c r="K643" i="1"/>
  <c r="J643" i="1"/>
  <c r="K642" i="1"/>
  <c r="J642" i="1"/>
  <c r="K641" i="1"/>
  <c r="J641" i="1"/>
  <c r="K640" i="1"/>
  <c r="J640" i="1"/>
  <c r="K639" i="1"/>
  <c r="J639" i="1"/>
  <c r="K638" i="1"/>
  <c r="J638" i="1"/>
  <c r="K637" i="1"/>
  <c r="J637" i="1"/>
  <c r="K636" i="1"/>
  <c r="J636" i="1"/>
  <c r="K635" i="1"/>
  <c r="J635" i="1"/>
  <c r="K634" i="1"/>
  <c r="J634" i="1"/>
  <c r="K633" i="1"/>
  <c r="J633" i="1"/>
  <c r="K632" i="1"/>
  <c r="J632" i="1"/>
  <c r="K631" i="1"/>
  <c r="J631" i="1"/>
  <c r="K630" i="1"/>
  <c r="J630" i="1"/>
  <c r="K629" i="1"/>
  <c r="J629" i="1"/>
  <c r="K628" i="1"/>
  <c r="J628" i="1"/>
  <c r="K627" i="1"/>
  <c r="J627" i="1"/>
  <c r="K626" i="1"/>
  <c r="J626" i="1"/>
  <c r="K625" i="1"/>
  <c r="J625" i="1"/>
  <c r="K624" i="1"/>
  <c r="J624" i="1"/>
  <c r="K623" i="1"/>
  <c r="J623" i="1"/>
  <c r="K622" i="1"/>
  <c r="J622" i="1"/>
  <c r="K621" i="1"/>
  <c r="J621" i="1"/>
  <c r="K620" i="1"/>
  <c r="J620" i="1"/>
  <c r="K619" i="1"/>
  <c r="J619" i="1"/>
  <c r="K618" i="1"/>
  <c r="J618" i="1"/>
  <c r="K617" i="1"/>
  <c r="J617" i="1"/>
  <c r="K616" i="1"/>
  <c r="J616" i="1"/>
  <c r="K615" i="1"/>
  <c r="J615" i="1"/>
  <c r="K614" i="1"/>
  <c r="J614" i="1"/>
  <c r="K613" i="1"/>
  <c r="J613" i="1"/>
  <c r="K612" i="1"/>
  <c r="J612" i="1"/>
  <c r="K611" i="1"/>
  <c r="J611" i="1"/>
  <c r="K610" i="1"/>
  <c r="J610" i="1"/>
  <c r="K609" i="1"/>
  <c r="J609" i="1"/>
  <c r="K608" i="1"/>
  <c r="J608" i="1"/>
  <c r="K607" i="1"/>
  <c r="J607" i="1"/>
  <c r="K606" i="1"/>
  <c r="J606" i="1"/>
  <c r="K605" i="1"/>
  <c r="J605" i="1"/>
  <c r="K604" i="1"/>
  <c r="J604" i="1"/>
  <c r="K603" i="1"/>
  <c r="J603" i="1"/>
  <c r="K602" i="1"/>
  <c r="J602" i="1"/>
  <c r="K601" i="1"/>
  <c r="J601" i="1"/>
  <c r="K600" i="1"/>
  <c r="J600" i="1"/>
  <c r="K599" i="1"/>
  <c r="J599" i="1"/>
  <c r="K598" i="1"/>
  <c r="J598" i="1"/>
  <c r="K597" i="1"/>
  <c r="J597" i="1"/>
  <c r="K596" i="1"/>
  <c r="J596" i="1"/>
  <c r="K595" i="1"/>
  <c r="J595" i="1"/>
  <c r="K594" i="1"/>
  <c r="J594" i="1"/>
  <c r="K593" i="1"/>
  <c r="J593" i="1"/>
  <c r="K592" i="1"/>
  <c r="J592" i="1"/>
  <c r="K591" i="1"/>
  <c r="J591" i="1"/>
  <c r="K590" i="1"/>
  <c r="J590" i="1"/>
  <c r="K589" i="1"/>
  <c r="J589" i="1"/>
  <c r="K588" i="1"/>
  <c r="J588" i="1"/>
  <c r="K587" i="1"/>
  <c r="J587" i="1"/>
  <c r="K586" i="1"/>
  <c r="J586" i="1"/>
  <c r="K585" i="1"/>
  <c r="J585" i="1"/>
  <c r="K584" i="1"/>
  <c r="J584" i="1"/>
  <c r="K583" i="1"/>
  <c r="J583" i="1"/>
  <c r="K582" i="1"/>
  <c r="J582" i="1"/>
  <c r="K581" i="1"/>
  <c r="J581" i="1"/>
  <c r="K580" i="1"/>
  <c r="J580" i="1"/>
  <c r="K579" i="1"/>
  <c r="J579" i="1"/>
  <c r="K578" i="1"/>
  <c r="J578" i="1"/>
  <c r="K577" i="1"/>
  <c r="J577" i="1"/>
  <c r="K576" i="1"/>
  <c r="J576" i="1"/>
  <c r="K575" i="1"/>
  <c r="J575" i="1"/>
  <c r="K574" i="1"/>
  <c r="J574" i="1"/>
  <c r="K573" i="1"/>
  <c r="J573" i="1"/>
  <c r="K572" i="1"/>
  <c r="J572" i="1"/>
  <c r="K571" i="1"/>
  <c r="J571" i="1"/>
  <c r="K570" i="1"/>
  <c r="J570" i="1"/>
  <c r="K569" i="1"/>
  <c r="J569" i="1"/>
  <c r="K568" i="1"/>
  <c r="J568" i="1"/>
  <c r="K567" i="1"/>
  <c r="J567" i="1"/>
  <c r="K566" i="1"/>
  <c r="J566" i="1"/>
  <c r="K565" i="1"/>
  <c r="J565" i="1"/>
  <c r="K564" i="1"/>
  <c r="J564" i="1"/>
  <c r="K563" i="1"/>
  <c r="J563" i="1"/>
  <c r="K562" i="1"/>
  <c r="J562" i="1"/>
  <c r="K561" i="1"/>
  <c r="J561" i="1"/>
  <c r="K560" i="1"/>
  <c r="J560" i="1"/>
  <c r="K559" i="1"/>
  <c r="J559" i="1"/>
  <c r="K558" i="1"/>
  <c r="J558" i="1"/>
  <c r="K557" i="1"/>
  <c r="J557" i="1"/>
  <c r="K556" i="1"/>
  <c r="J556" i="1"/>
  <c r="K555" i="1"/>
  <c r="J555" i="1"/>
  <c r="K554" i="1"/>
  <c r="J554" i="1"/>
  <c r="K553" i="1"/>
  <c r="J553" i="1"/>
  <c r="K552" i="1"/>
  <c r="J552" i="1"/>
  <c r="K551" i="1"/>
  <c r="J551" i="1"/>
  <c r="K550" i="1"/>
  <c r="J550" i="1"/>
  <c r="K549" i="1"/>
  <c r="J549" i="1"/>
  <c r="K548" i="1"/>
  <c r="J548" i="1"/>
  <c r="K547" i="1"/>
  <c r="J547" i="1"/>
  <c r="K546" i="1"/>
  <c r="J546" i="1"/>
  <c r="K545" i="1"/>
  <c r="J545" i="1"/>
  <c r="K544" i="1"/>
  <c r="J544" i="1"/>
  <c r="K543" i="1"/>
  <c r="J543" i="1"/>
  <c r="K542" i="1"/>
  <c r="J542" i="1"/>
  <c r="K541" i="1"/>
  <c r="J541" i="1"/>
  <c r="K540" i="1"/>
  <c r="J540" i="1"/>
  <c r="K539" i="1"/>
  <c r="J539" i="1"/>
  <c r="K538" i="1"/>
  <c r="J538" i="1"/>
  <c r="K537" i="1"/>
  <c r="J537" i="1"/>
  <c r="K536" i="1"/>
  <c r="J536" i="1"/>
  <c r="K535" i="1"/>
  <c r="J535" i="1"/>
  <c r="K534" i="1"/>
  <c r="J534" i="1"/>
  <c r="K533" i="1"/>
  <c r="J533" i="1"/>
  <c r="K532" i="1"/>
  <c r="J532" i="1"/>
  <c r="K531" i="1"/>
  <c r="J531" i="1"/>
  <c r="K530" i="1"/>
  <c r="J530" i="1"/>
  <c r="K529" i="1"/>
  <c r="J529" i="1"/>
  <c r="K528" i="1"/>
  <c r="J528" i="1"/>
  <c r="K527" i="1"/>
  <c r="J527" i="1"/>
  <c r="K526" i="1"/>
  <c r="J526" i="1"/>
  <c r="K525" i="1"/>
  <c r="J525" i="1"/>
  <c r="K524" i="1"/>
  <c r="J524" i="1"/>
  <c r="K523" i="1"/>
  <c r="J523" i="1"/>
  <c r="K522" i="1"/>
  <c r="J522" i="1"/>
  <c r="K521" i="1"/>
  <c r="J521" i="1"/>
  <c r="K520" i="1"/>
  <c r="J520" i="1"/>
  <c r="K519" i="1"/>
  <c r="J519" i="1"/>
  <c r="K518" i="1"/>
  <c r="J518" i="1"/>
  <c r="K517" i="1"/>
  <c r="J517" i="1"/>
  <c r="K516" i="1"/>
  <c r="J516" i="1"/>
  <c r="K515" i="1"/>
  <c r="J515" i="1"/>
  <c r="K514" i="1"/>
  <c r="J514" i="1"/>
  <c r="K513" i="1"/>
  <c r="J513" i="1"/>
  <c r="K512" i="1"/>
  <c r="J512" i="1"/>
  <c r="K511" i="1"/>
  <c r="J511" i="1"/>
  <c r="K510" i="1"/>
  <c r="J510" i="1"/>
  <c r="K509" i="1"/>
  <c r="J509" i="1"/>
  <c r="K508" i="1"/>
  <c r="J508" i="1"/>
  <c r="K507" i="1"/>
  <c r="J507" i="1"/>
  <c r="K506" i="1"/>
  <c r="J506" i="1"/>
  <c r="K505" i="1"/>
  <c r="J505" i="1"/>
  <c r="K504" i="1"/>
  <c r="J504" i="1"/>
  <c r="K503" i="1"/>
  <c r="J503" i="1"/>
  <c r="K502" i="1"/>
  <c r="J502" i="1"/>
  <c r="K501" i="1"/>
  <c r="J501" i="1"/>
  <c r="K500" i="1"/>
  <c r="J500" i="1"/>
  <c r="K499" i="1"/>
  <c r="J499" i="1"/>
  <c r="K498" i="1"/>
  <c r="J498" i="1"/>
  <c r="K497" i="1"/>
  <c r="J497" i="1"/>
  <c r="K496" i="1"/>
  <c r="J496" i="1"/>
  <c r="K495" i="1"/>
  <c r="J495" i="1"/>
  <c r="K494" i="1"/>
  <c r="J494" i="1"/>
  <c r="K493" i="1"/>
  <c r="J493" i="1"/>
  <c r="K492" i="1"/>
  <c r="J492" i="1"/>
  <c r="K491" i="1"/>
  <c r="J491" i="1"/>
  <c r="K490" i="1"/>
  <c r="J490" i="1"/>
  <c r="K489" i="1"/>
  <c r="J489" i="1"/>
  <c r="K488" i="1"/>
  <c r="J488" i="1"/>
  <c r="K487" i="1"/>
  <c r="J487" i="1"/>
  <c r="K486" i="1"/>
  <c r="J486" i="1"/>
  <c r="K485" i="1"/>
  <c r="J485" i="1"/>
  <c r="K484" i="1"/>
  <c r="J484" i="1"/>
  <c r="K483" i="1"/>
  <c r="J483" i="1"/>
  <c r="K482" i="1"/>
  <c r="J482" i="1"/>
  <c r="K481" i="1"/>
  <c r="J481" i="1"/>
  <c r="K480" i="1"/>
  <c r="J480" i="1"/>
  <c r="K479" i="1"/>
  <c r="J479" i="1"/>
  <c r="K478" i="1"/>
  <c r="J478" i="1"/>
  <c r="K477" i="1"/>
  <c r="J477" i="1"/>
  <c r="K476" i="1"/>
  <c r="J476" i="1"/>
  <c r="K475" i="1"/>
  <c r="J475" i="1"/>
  <c r="K474" i="1"/>
  <c r="J474" i="1"/>
  <c r="K473" i="1"/>
  <c r="J473" i="1"/>
  <c r="K472" i="1"/>
  <c r="J472" i="1"/>
  <c r="K471" i="1"/>
  <c r="J471" i="1"/>
  <c r="K470" i="1"/>
  <c r="J470" i="1"/>
  <c r="K469" i="1"/>
  <c r="J469" i="1"/>
  <c r="K468" i="1"/>
  <c r="J468" i="1"/>
  <c r="K467" i="1"/>
  <c r="J467" i="1"/>
  <c r="K466" i="1"/>
  <c r="J466" i="1"/>
  <c r="K465" i="1"/>
  <c r="J465" i="1"/>
  <c r="K464" i="1"/>
  <c r="J464" i="1"/>
  <c r="K463" i="1"/>
  <c r="J463" i="1"/>
  <c r="K462" i="1"/>
  <c r="J462" i="1"/>
  <c r="K461" i="1"/>
  <c r="J461" i="1"/>
  <c r="K460" i="1"/>
  <c r="J460" i="1"/>
  <c r="K459" i="1"/>
  <c r="J459" i="1"/>
  <c r="K458" i="1"/>
  <c r="J458" i="1"/>
  <c r="K457" i="1"/>
  <c r="J457" i="1"/>
  <c r="K456" i="1"/>
  <c r="J456" i="1"/>
  <c r="K455" i="1"/>
  <c r="J455" i="1"/>
  <c r="K454" i="1"/>
  <c r="J454" i="1"/>
  <c r="K453" i="1"/>
  <c r="J453" i="1"/>
  <c r="K452" i="1"/>
  <c r="J452" i="1"/>
  <c r="K451" i="1"/>
  <c r="J451" i="1"/>
  <c r="K450" i="1"/>
  <c r="J450" i="1"/>
  <c r="K449" i="1"/>
  <c r="J449" i="1"/>
  <c r="K448" i="1"/>
  <c r="J448" i="1"/>
  <c r="K447" i="1"/>
  <c r="J447" i="1"/>
  <c r="K446" i="1"/>
  <c r="J446" i="1"/>
  <c r="K445" i="1"/>
  <c r="J445" i="1"/>
  <c r="K444" i="1"/>
  <c r="J444" i="1"/>
  <c r="K443" i="1"/>
  <c r="J443" i="1"/>
  <c r="K442" i="1"/>
  <c r="J442" i="1"/>
  <c r="K441" i="1"/>
  <c r="J441" i="1"/>
  <c r="K440" i="1"/>
  <c r="J440" i="1"/>
  <c r="K439" i="1"/>
  <c r="J439" i="1"/>
  <c r="K438" i="1"/>
  <c r="J438" i="1"/>
  <c r="K437" i="1"/>
  <c r="J437" i="1"/>
  <c r="K436" i="1"/>
  <c r="J436" i="1"/>
  <c r="K435" i="1"/>
  <c r="J435" i="1"/>
  <c r="K434" i="1"/>
  <c r="J434" i="1"/>
  <c r="K433" i="1"/>
  <c r="J433" i="1"/>
  <c r="K432" i="1"/>
  <c r="J432" i="1"/>
  <c r="K431" i="1"/>
  <c r="J431" i="1"/>
  <c r="K430" i="1"/>
  <c r="J430" i="1"/>
  <c r="K429" i="1"/>
  <c r="J429" i="1"/>
  <c r="K428" i="1"/>
  <c r="J428" i="1"/>
  <c r="K427" i="1"/>
  <c r="J427" i="1"/>
  <c r="K426" i="1"/>
  <c r="J426" i="1"/>
  <c r="K425" i="1"/>
  <c r="J425" i="1"/>
  <c r="K424" i="1"/>
  <c r="J424" i="1"/>
  <c r="K423" i="1"/>
  <c r="J423" i="1"/>
  <c r="K422" i="1"/>
  <c r="J422" i="1"/>
  <c r="K421" i="1"/>
  <c r="J421" i="1"/>
  <c r="K420" i="1"/>
  <c r="J420" i="1"/>
  <c r="K419" i="1"/>
  <c r="J419" i="1"/>
  <c r="K418" i="1"/>
  <c r="J418" i="1"/>
  <c r="K417" i="1"/>
  <c r="J417" i="1"/>
  <c r="K416" i="1"/>
  <c r="J416" i="1"/>
  <c r="K415" i="1"/>
  <c r="J415" i="1"/>
  <c r="K414" i="1"/>
  <c r="J414" i="1"/>
  <c r="K413" i="1"/>
  <c r="J413" i="1"/>
  <c r="K412" i="1"/>
  <c r="J412" i="1"/>
  <c r="K411" i="1"/>
  <c r="J411" i="1"/>
  <c r="K410" i="1"/>
  <c r="J410" i="1"/>
  <c r="K409" i="1"/>
  <c r="J409" i="1"/>
  <c r="K408" i="1"/>
  <c r="J408" i="1"/>
  <c r="K407" i="1"/>
  <c r="J407" i="1"/>
  <c r="K406" i="1"/>
  <c r="J406" i="1"/>
  <c r="K405" i="1"/>
  <c r="J405" i="1"/>
  <c r="K404" i="1"/>
  <c r="J404" i="1"/>
  <c r="K403" i="1"/>
  <c r="J403" i="1"/>
  <c r="K402" i="1"/>
  <c r="J402" i="1"/>
  <c r="K401" i="1"/>
  <c r="J401" i="1"/>
  <c r="K400" i="1"/>
  <c r="J400" i="1"/>
  <c r="K399" i="1"/>
  <c r="J399" i="1"/>
  <c r="K398" i="1"/>
  <c r="J398" i="1"/>
  <c r="K397" i="1"/>
  <c r="J397" i="1"/>
  <c r="K396" i="1"/>
  <c r="J396" i="1"/>
  <c r="K395" i="1"/>
  <c r="J395" i="1"/>
  <c r="K394" i="1"/>
  <c r="J394" i="1"/>
  <c r="K393" i="1"/>
  <c r="J393" i="1"/>
  <c r="K392" i="1"/>
  <c r="J392" i="1"/>
  <c r="K391" i="1"/>
  <c r="J391" i="1"/>
  <c r="K390" i="1"/>
  <c r="J390" i="1"/>
  <c r="K389" i="1"/>
  <c r="J389" i="1"/>
  <c r="K388" i="1"/>
  <c r="J388" i="1"/>
  <c r="K387" i="1"/>
  <c r="J387" i="1"/>
  <c r="K386" i="1"/>
  <c r="J386" i="1"/>
  <c r="K385" i="1"/>
  <c r="J385" i="1"/>
  <c r="K384" i="1"/>
  <c r="J384" i="1"/>
  <c r="K383" i="1"/>
  <c r="J383" i="1"/>
  <c r="K382" i="1"/>
  <c r="J382" i="1"/>
  <c r="K381" i="1"/>
  <c r="J381" i="1"/>
  <c r="K380" i="1"/>
  <c r="J380" i="1"/>
  <c r="K379" i="1"/>
  <c r="J379" i="1"/>
  <c r="K378" i="1"/>
  <c r="J378" i="1"/>
  <c r="K377" i="1"/>
  <c r="J377" i="1"/>
  <c r="K376" i="1"/>
  <c r="J376" i="1"/>
  <c r="K375" i="1"/>
  <c r="J375" i="1"/>
  <c r="K374" i="1"/>
  <c r="J374" i="1"/>
  <c r="K373" i="1"/>
  <c r="J373" i="1"/>
  <c r="K372" i="1"/>
  <c r="J372" i="1"/>
  <c r="K371" i="1"/>
  <c r="J371" i="1"/>
  <c r="K370" i="1"/>
  <c r="J370" i="1"/>
  <c r="K369" i="1"/>
  <c r="J369" i="1"/>
  <c r="K368" i="1"/>
  <c r="J368" i="1"/>
  <c r="K367" i="1"/>
  <c r="J367" i="1"/>
  <c r="K366" i="1"/>
  <c r="J366" i="1"/>
  <c r="K365" i="1"/>
  <c r="J365" i="1"/>
  <c r="K364" i="1"/>
  <c r="J364" i="1"/>
  <c r="K363" i="1"/>
  <c r="J363" i="1"/>
  <c r="K362" i="1"/>
  <c r="J362" i="1"/>
  <c r="K361" i="1"/>
  <c r="J361" i="1"/>
  <c r="K360" i="1"/>
  <c r="J360" i="1"/>
  <c r="K359" i="1"/>
  <c r="J359" i="1"/>
  <c r="K358" i="1"/>
  <c r="J358" i="1"/>
  <c r="K357" i="1"/>
  <c r="J357" i="1"/>
  <c r="K356" i="1"/>
  <c r="J356" i="1"/>
  <c r="K355" i="1"/>
  <c r="J355" i="1"/>
  <c r="K354" i="1"/>
  <c r="J354" i="1"/>
  <c r="K353" i="1"/>
  <c r="J353" i="1"/>
  <c r="K352" i="1"/>
  <c r="J352" i="1"/>
  <c r="K351" i="1"/>
  <c r="J351" i="1"/>
  <c r="K350" i="1"/>
  <c r="J350" i="1"/>
  <c r="K349" i="1"/>
  <c r="J349" i="1"/>
  <c r="K348" i="1"/>
  <c r="J348" i="1"/>
  <c r="K347" i="1"/>
  <c r="J347" i="1"/>
  <c r="K346" i="1"/>
  <c r="J346" i="1"/>
  <c r="K345" i="1"/>
  <c r="J345" i="1"/>
  <c r="K344" i="1"/>
  <c r="J344" i="1"/>
  <c r="K343" i="1"/>
  <c r="J343" i="1"/>
  <c r="K342" i="1"/>
  <c r="J342" i="1"/>
  <c r="K341" i="1"/>
  <c r="J341" i="1"/>
  <c r="K340" i="1"/>
  <c r="J340" i="1"/>
  <c r="K339" i="1"/>
  <c r="J339" i="1"/>
  <c r="K338" i="1"/>
  <c r="J338" i="1"/>
  <c r="K337" i="1"/>
  <c r="J337" i="1"/>
  <c r="K336" i="1"/>
  <c r="J336" i="1"/>
  <c r="K335" i="1"/>
  <c r="J335" i="1"/>
  <c r="K334" i="1"/>
  <c r="J334" i="1"/>
  <c r="K333" i="1"/>
  <c r="J333" i="1"/>
  <c r="K332" i="1"/>
  <c r="J332" i="1"/>
  <c r="K331" i="1"/>
  <c r="J331" i="1"/>
  <c r="K330" i="1"/>
  <c r="J330" i="1"/>
  <c r="K329" i="1"/>
  <c r="J329" i="1"/>
  <c r="K328" i="1"/>
  <c r="J328" i="1"/>
  <c r="K327" i="1"/>
  <c r="J327" i="1"/>
  <c r="K326" i="1"/>
  <c r="J326" i="1"/>
  <c r="K325" i="1"/>
  <c r="J325" i="1"/>
  <c r="K324" i="1"/>
  <c r="J324" i="1"/>
  <c r="K323" i="1"/>
  <c r="J323" i="1"/>
  <c r="K322" i="1"/>
  <c r="J322" i="1"/>
  <c r="K321" i="1"/>
  <c r="J321" i="1"/>
  <c r="K320" i="1"/>
  <c r="J320" i="1"/>
  <c r="K319" i="1"/>
  <c r="J319" i="1"/>
  <c r="K318" i="1"/>
  <c r="J318" i="1"/>
  <c r="K317" i="1"/>
  <c r="J317" i="1"/>
  <c r="K316" i="1"/>
  <c r="J316" i="1"/>
  <c r="K315" i="1"/>
  <c r="J315" i="1"/>
  <c r="K314" i="1"/>
  <c r="J314" i="1"/>
  <c r="K313" i="1"/>
  <c r="J313" i="1"/>
  <c r="K312" i="1"/>
  <c r="J312" i="1"/>
  <c r="K311" i="1"/>
  <c r="J311" i="1"/>
  <c r="K310" i="1"/>
  <c r="J310" i="1"/>
  <c r="K309" i="1"/>
  <c r="J309" i="1"/>
  <c r="K308" i="1"/>
  <c r="J308" i="1"/>
  <c r="K307" i="1"/>
  <c r="J307" i="1"/>
  <c r="K306" i="1"/>
  <c r="J306" i="1"/>
  <c r="K305" i="1"/>
  <c r="J305" i="1"/>
  <c r="K304" i="1"/>
  <c r="J304" i="1"/>
  <c r="K303" i="1"/>
  <c r="J303" i="1"/>
  <c r="K302" i="1"/>
  <c r="J302" i="1"/>
  <c r="K301" i="1"/>
  <c r="J301" i="1"/>
  <c r="K300" i="1"/>
  <c r="J300" i="1"/>
  <c r="K299" i="1"/>
  <c r="J299" i="1"/>
  <c r="K298" i="1"/>
  <c r="J298" i="1"/>
  <c r="K297" i="1"/>
  <c r="J297" i="1"/>
  <c r="K296" i="1"/>
  <c r="J296" i="1"/>
  <c r="K295" i="1"/>
  <c r="J295" i="1"/>
  <c r="K294" i="1"/>
  <c r="J294" i="1"/>
  <c r="K293" i="1"/>
  <c r="J293" i="1"/>
  <c r="K292" i="1"/>
  <c r="J292" i="1"/>
  <c r="K291" i="1"/>
  <c r="J291" i="1"/>
  <c r="K290" i="1"/>
  <c r="J290" i="1"/>
  <c r="K289" i="1"/>
  <c r="J289" i="1"/>
  <c r="K288" i="1"/>
  <c r="J288" i="1"/>
  <c r="K287" i="1"/>
  <c r="J287" i="1"/>
  <c r="K286" i="1"/>
  <c r="J286" i="1"/>
  <c r="K285" i="1"/>
  <c r="J285" i="1"/>
  <c r="K284" i="1"/>
  <c r="J284" i="1"/>
  <c r="K283" i="1"/>
  <c r="J283" i="1"/>
  <c r="K282" i="1"/>
  <c r="J282" i="1"/>
  <c r="K281" i="1"/>
  <c r="J281" i="1"/>
  <c r="K280" i="1"/>
  <c r="J280" i="1"/>
  <c r="K279" i="1"/>
  <c r="J279" i="1"/>
  <c r="K278" i="1"/>
  <c r="J278" i="1"/>
  <c r="K277" i="1"/>
  <c r="J277" i="1"/>
  <c r="K276" i="1"/>
  <c r="J276" i="1"/>
  <c r="K275" i="1"/>
  <c r="J275" i="1"/>
  <c r="K274" i="1"/>
  <c r="J274" i="1"/>
  <c r="K273" i="1"/>
  <c r="J273" i="1"/>
  <c r="K272" i="1"/>
  <c r="J272" i="1"/>
  <c r="K271" i="1"/>
  <c r="J271" i="1"/>
  <c r="K270" i="1"/>
  <c r="J270" i="1"/>
  <c r="K269" i="1"/>
  <c r="J269" i="1"/>
  <c r="K268" i="1"/>
  <c r="J268" i="1"/>
  <c r="K267" i="1"/>
  <c r="J267" i="1"/>
  <c r="K266" i="1"/>
  <c r="J266" i="1"/>
  <c r="K265" i="1"/>
  <c r="J265" i="1"/>
  <c r="K264" i="1"/>
  <c r="J264" i="1"/>
  <c r="K263" i="1"/>
  <c r="J263" i="1"/>
  <c r="K262" i="1"/>
  <c r="J262" i="1"/>
  <c r="K261" i="1"/>
  <c r="J261" i="1"/>
  <c r="K260" i="1"/>
  <c r="J260" i="1"/>
  <c r="K259" i="1"/>
  <c r="J259" i="1"/>
  <c r="K258" i="1"/>
  <c r="J258" i="1"/>
  <c r="K257" i="1"/>
  <c r="J257" i="1"/>
  <c r="K256" i="1"/>
  <c r="J256" i="1"/>
  <c r="K255" i="1"/>
  <c r="J255" i="1"/>
  <c r="K254" i="1"/>
  <c r="J254" i="1"/>
  <c r="K253" i="1"/>
  <c r="J253" i="1"/>
  <c r="K252" i="1"/>
  <c r="J252" i="1"/>
  <c r="K251" i="1"/>
  <c r="J251" i="1"/>
  <c r="K250" i="1"/>
  <c r="J250" i="1"/>
  <c r="K249" i="1"/>
  <c r="J249" i="1"/>
  <c r="K248" i="1"/>
  <c r="J248" i="1"/>
  <c r="K247" i="1"/>
  <c r="J247" i="1"/>
  <c r="K246" i="1"/>
  <c r="J246" i="1"/>
  <c r="K245" i="1"/>
  <c r="J245" i="1"/>
  <c r="K244" i="1"/>
  <c r="J244" i="1"/>
  <c r="K243" i="1"/>
  <c r="J243" i="1"/>
  <c r="K242" i="1"/>
  <c r="J242" i="1"/>
  <c r="K241" i="1"/>
  <c r="J241" i="1"/>
  <c r="K240" i="1"/>
  <c r="J240" i="1"/>
  <c r="K239" i="1"/>
  <c r="J239" i="1"/>
  <c r="K238" i="1"/>
  <c r="J238" i="1"/>
  <c r="K237" i="1"/>
  <c r="J237" i="1"/>
  <c r="K236" i="1"/>
  <c r="J236" i="1"/>
  <c r="K235" i="1"/>
  <c r="J235" i="1"/>
  <c r="K234" i="1"/>
  <c r="J234" i="1"/>
  <c r="K233" i="1"/>
  <c r="J233" i="1"/>
  <c r="K232" i="1"/>
  <c r="J232" i="1"/>
  <c r="K231" i="1"/>
  <c r="J231" i="1"/>
  <c r="K230" i="1"/>
  <c r="J230" i="1"/>
  <c r="K229" i="1"/>
  <c r="J229" i="1"/>
  <c r="K228" i="1"/>
  <c r="J228" i="1"/>
  <c r="K227" i="1"/>
  <c r="J227" i="1"/>
  <c r="K226" i="1"/>
  <c r="J226" i="1"/>
  <c r="K225" i="1"/>
  <c r="J225" i="1"/>
  <c r="K224" i="1"/>
  <c r="J224" i="1"/>
  <c r="K223" i="1"/>
  <c r="J223" i="1"/>
  <c r="K222" i="1"/>
  <c r="J222" i="1"/>
  <c r="K221" i="1"/>
  <c r="J221" i="1"/>
  <c r="K220" i="1"/>
  <c r="J220" i="1"/>
  <c r="K219" i="1"/>
  <c r="J219" i="1"/>
  <c r="K218" i="1"/>
  <c r="J218" i="1"/>
  <c r="K217" i="1"/>
  <c r="J217" i="1"/>
  <c r="K216" i="1"/>
  <c r="J216" i="1"/>
  <c r="K215" i="1"/>
  <c r="J215" i="1"/>
  <c r="K214" i="1"/>
  <c r="J214" i="1"/>
  <c r="K213" i="1"/>
  <c r="J213" i="1"/>
  <c r="K212" i="1"/>
  <c r="J212" i="1"/>
  <c r="K211" i="1"/>
  <c r="J211" i="1"/>
  <c r="K210" i="1"/>
  <c r="J210" i="1"/>
  <c r="K209" i="1"/>
  <c r="J209" i="1"/>
  <c r="K208" i="1"/>
  <c r="J208" i="1"/>
  <c r="K207" i="1"/>
  <c r="J207" i="1"/>
  <c r="K206" i="1"/>
  <c r="J206" i="1"/>
  <c r="K205" i="1"/>
  <c r="J205" i="1"/>
  <c r="K204" i="1"/>
  <c r="J204" i="1"/>
  <c r="K203" i="1"/>
  <c r="J203" i="1"/>
  <c r="K202" i="1"/>
  <c r="J202" i="1"/>
  <c r="K201" i="1"/>
  <c r="J201" i="1"/>
  <c r="K200" i="1"/>
  <c r="J200" i="1"/>
  <c r="K199" i="1"/>
  <c r="J199" i="1"/>
  <c r="K198" i="1"/>
  <c r="J198" i="1"/>
  <c r="K197" i="1"/>
  <c r="J197" i="1"/>
  <c r="K196" i="1"/>
  <c r="J196" i="1"/>
  <c r="K195" i="1"/>
  <c r="J195" i="1"/>
  <c r="K194" i="1"/>
  <c r="J194" i="1"/>
  <c r="K193" i="1"/>
  <c r="J193" i="1"/>
  <c r="K192" i="1"/>
  <c r="J192" i="1"/>
  <c r="K191" i="1"/>
  <c r="J191" i="1"/>
  <c r="K190" i="1"/>
  <c r="J190" i="1"/>
  <c r="K189" i="1"/>
  <c r="J189" i="1"/>
  <c r="K188" i="1"/>
  <c r="J188" i="1"/>
  <c r="K187" i="1"/>
  <c r="J187" i="1"/>
  <c r="K186" i="1"/>
  <c r="J186" i="1"/>
  <c r="K185" i="1"/>
  <c r="J185" i="1"/>
  <c r="K184" i="1"/>
  <c r="J184" i="1"/>
  <c r="K183" i="1"/>
  <c r="J183" i="1"/>
  <c r="K182" i="1"/>
  <c r="J182" i="1"/>
  <c r="K181" i="1"/>
  <c r="J181" i="1"/>
  <c r="K180" i="1"/>
  <c r="J180" i="1"/>
  <c r="K179" i="1"/>
  <c r="J179" i="1"/>
  <c r="K178" i="1"/>
  <c r="J178" i="1"/>
  <c r="K177" i="1"/>
  <c r="J177" i="1"/>
  <c r="K176" i="1"/>
  <c r="J176" i="1"/>
  <c r="K175" i="1"/>
  <c r="J175" i="1"/>
  <c r="K174" i="1"/>
  <c r="J174" i="1"/>
  <c r="K173" i="1"/>
  <c r="J173" i="1"/>
  <c r="K172" i="1"/>
  <c r="J172" i="1"/>
  <c r="K171" i="1"/>
  <c r="J171" i="1"/>
  <c r="K170" i="1"/>
  <c r="J170" i="1"/>
  <c r="K169" i="1"/>
  <c r="J169" i="1"/>
  <c r="K168" i="1"/>
  <c r="J168" i="1"/>
  <c r="K167" i="1"/>
  <c r="J167" i="1"/>
  <c r="K166" i="1"/>
  <c r="J166" i="1"/>
  <c r="K165" i="1"/>
  <c r="J165" i="1"/>
  <c r="K164" i="1"/>
  <c r="J164" i="1"/>
  <c r="K163" i="1"/>
  <c r="J163" i="1"/>
  <c r="K162" i="1"/>
  <c r="J162" i="1"/>
  <c r="K161" i="1"/>
  <c r="J161" i="1"/>
  <c r="K160" i="1"/>
  <c r="J160" i="1"/>
  <c r="K159" i="1"/>
  <c r="J159" i="1"/>
  <c r="K158" i="1"/>
  <c r="J158" i="1"/>
  <c r="K157" i="1"/>
  <c r="J157" i="1"/>
  <c r="K156" i="1"/>
  <c r="J156" i="1"/>
  <c r="K155" i="1"/>
  <c r="J155" i="1"/>
  <c r="K154" i="1"/>
  <c r="J154" i="1"/>
  <c r="K153" i="1"/>
  <c r="J153" i="1"/>
  <c r="K152" i="1"/>
  <c r="J152" i="1"/>
  <c r="K151" i="1"/>
  <c r="J151" i="1"/>
  <c r="K150" i="1"/>
  <c r="J150" i="1"/>
  <c r="K149" i="1"/>
  <c r="J149" i="1"/>
  <c r="K148" i="1"/>
  <c r="J148" i="1"/>
  <c r="K147" i="1"/>
  <c r="J147" i="1"/>
  <c r="K146" i="1"/>
  <c r="J146" i="1"/>
  <c r="K145" i="1"/>
  <c r="J145" i="1"/>
  <c r="K144" i="1"/>
  <c r="J144" i="1"/>
  <c r="K143" i="1"/>
  <c r="J143" i="1"/>
  <c r="K142" i="1"/>
  <c r="J142" i="1"/>
  <c r="K141" i="1"/>
  <c r="J141" i="1"/>
  <c r="K140" i="1"/>
  <c r="J140" i="1"/>
  <c r="K139" i="1"/>
  <c r="J139" i="1"/>
  <c r="K138" i="1"/>
  <c r="J138" i="1"/>
  <c r="K137" i="1"/>
  <c r="J137" i="1"/>
  <c r="K136" i="1"/>
  <c r="J136" i="1"/>
  <c r="K135" i="1"/>
  <c r="J135" i="1"/>
  <c r="K134" i="1"/>
  <c r="J134" i="1"/>
  <c r="K133" i="1"/>
  <c r="J133" i="1"/>
  <c r="K132" i="1"/>
  <c r="J132" i="1"/>
  <c r="K131" i="1"/>
  <c r="J131" i="1"/>
  <c r="K130" i="1"/>
  <c r="J130" i="1"/>
  <c r="K129" i="1"/>
  <c r="J129" i="1"/>
  <c r="K128" i="1"/>
  <c r="J128" i="1"/>
  <c r="K127" i="1"/>
  <c r="J127" i="1"/>
  <c r="K126" i="1"/>
  <c r="J126" i="1"/>
  <c r="K125" i="1"/>
  <c r="J125" i="1"/>
  <c r="K124" i="1"/>
  <c r="J124" i="1"/>
  <c r="K123" i="1"/>
  <c r="J123" i="1"/>
  <c r="K122" i="1"/>
  <c r="J122" i="1"/>
  <c r="K121" i="1"/>
  <c r="J121" i="1"/>
  <c r="K120" i="1"/>
  <c r="J120" i="1"/>
  <c r="K119" i="1"/>
  <c r="J119" i="1"/>
  <c r="K118" i="1"/>
  <c r="J118" i="1"/>
  <c r="K117" i="1"/>
  <c r="J117" i="1"/>
  <c r="K116" i="1"/>
  <c r="J116" i="1"/>
  <c r="K115" i="1"/>
  <c r="J115" i="1"/>
  <c r="K114" i="1"/>
  <c r="J114" i="1"/>
  <c r="K113" i="1"/>
  <c r="J113" i="1"/>
  <c r="K112" i="1"/>
  <c r="J112" i="1"/>
  <c r="K111" i="1"/>
  <c r="J111" i="1"/>
  <c r="K110" i="1"/>
  <c r="J110" i="1"/>
  <c r="K109" i="1"/>
  <c r="J109" i="1"/>
  <c r="K108" i="1"/>
  <c r="J108" i="1"/>
  <c r="K107" i="1"/>
  <c r="J107" i="1"/>
  <c r="K106" i="1"/>
  <c r="J106" i="1"/>
  <c r="K105" i="1"/>
  <c r="J105" i="1"/>
  <c r="K104" i="1"/>
  <c r="J104" i="1"/>
  <c r="K103" i="1"/>
  <c r="J103" i="1"/>
  <c r="K102" i="1"/>
  <c r="J102" i="1"/>
  <c r="K101" i="1"/>
  <c r="J101" i="1"/>
  <c r="K100" i="1"/>
  <c r="J100" i="1"/>
  <c r="K99" i="1"/>
  <c r="J99" i="1"/>
  <c r="K98" i="1"/>
  <c r="J98" i="1"/>
  <c r="K97" i="1"/>
  <c r="J97" i="1"/>
  <c r="K96" i="1"/>
  <c r="J96" i="1"/>
  <c r="K95" i="1"/>
  <c r="J95" i="1"/>
  <c r="K94" i="1"/>
  <c r="J94" i="1"/>
  <c r="K93" i="1"/>
  <c r="J93" i="1"/>
  <c r="K92" i="1"/>
  <c r="J92" i="1"/>
  <c r="K91" i="1"/>
  <c r="J91" i="1"/>
  <c r="K90" i="1"/>
  <c r="J90" i="1"/>
  <c r="K89" i="1"/>
  <c r="J89" i="1"/>
  <c r="K88" i="1"/>
  <c r="J88" i="1"/>
  <c r="K87" i="1"/>
  <c r="J87" i="1"/>
  <c r="K86" i="1"/>
  <c r="J86" i="1"/>
  <c r="K85" i="1"/>
  <c r="J85" i="1"/>
  <c r="K84" i="1"/>
  <c r="J84" i="1"/>
  <c r="K83" i="1"/>
  <c r="J83" i="1"/>
  <c r="K82" i="1"/>
  <c r="J82" i="1"/>
  <c r="K81" i="1"/>
  <c r="J81" i="1"/>
  <c r="K80" i="1"/>
  <c r="J80" i="1"/>
  <c r="K79" i="1"/>
  <c r="J79" i="1"/>
  <c r="K78" i="1"/>
  <c r="J78" i="1"/>
  <c r="K77" i="1"/>
  <c r="J77" i="1"/>
  <c r="K76" i="1"/>
  <c r="J76" i="1"/>
  <c r="K75" i="1"/>
  <c r="J75" i="1"/>
  <c r="K74" i="1"/>
  <c r="J74" i="1"/>
  <c r="K73" i="1"/>
  <c r="J73" i="1"/>
  <c r="K72" i="1"/>
  <c r="J72" i="1"/>
  <c r="K71" i="1"/>
  <c r="J71" i="1"/>
  <c r="K70" i="1"/>
  <c r="J70" i="1"/>
  <c r="K69" i="1"/>
  <c r="J69" i="1"/>
  <c r="K68" i="1"/>
  <c r="J68" i="1"/>
  <c r="K67" i="1"/>
  <c r="J67" i="1"/>
  <c r="K66" i="1"/>
  <c r="J66" i="1"/>
  <c r="K65" i="1"/>
  <c r="J65" i="1"/>
  <c r="K64" i="1"/>
  <c r="J64" i="1"/>
  <c r="K63" i="1"/>
  <c r="J63" i="1"/>
  <c r="K62" i="1"/>
  <c r="J62" i="1"/>
  <c r="K61" i="1"/>
  <c r="J61" i="1"/>
  <c r="K60" i="1"/>
  <c r="J60" i="1"/>
  <c r="K59" i="1"/>
  <c r="J59" i="1"/>
  <c r="K58" i="1"/>
  <c r="J58" i="1"/>
  <c r="K57" i="1"/>
  <c r="J57" i="1"/>
  <c r="K56" i="1"/>
  <c r="J56" i="1"/>
  <c r="K55" i="1"/>
  <c r="J55" i="1"/>
  <c r="K54" i="1"/>
  <c r="J54" i="1"/>
  <c r="K53" i="1"/>
  <c r="J53" i="1"/>
  <c r="K52" i="1"/>
  <c r="J52" i="1"/>
  <c r="K51" i="1"/>
  <c r="J51" i="1"/>
  <c r="K50" i="1"/>
  <c r="J50" i="1"/>
  <c r="K49" i="1"/>
  <c r="J49" i="1"/>
  <c r="K48" i="1"/>
  <c r="J48" i="1"/>
  <c r="K47" i="1"/>
  <c r="J47" i="1"/>
  <c r="K46" i="1"/>
  <c r="J46" i="1"/>
  <c r="K45" i="1"/>
  <c r="J45" i="1"/>
  <c r="K44" i="1"/>
  <c r="J44" i="1"/>
  <c r="K43" i="1"/>
  <c r="J43" i="1"/>
  <c r="K42" i="1"/>
  <c r="J42" i="1"/>
  <c r="K41" i="1"/>
  <c r="J41" i="1"/>
  <c r="K40" i="1"/>
  <c r="J40" i="1"/>
  <c r="K39" i="1"/>
  <c r="J39" i="1"/>
  <c r="K38" i="1"/>
  <c r="J38" i="1"/>
  <c r="K37" i="1"/>
  <c r="J37" i="1"/>
  <c r="K36" i="1"/>
  <c r="J36" i="1"/>
  <c r="K35" i="1"/>
  <c r="J35" i="1"/>
  <c r="K34" i="1"/>
  <c r="J34" i="1"/>
  <c r="K33" i="1"/>
  <c r="J33" i="1"/>
  <c r="K32" i="1"/>
  <c r="J32" i="1"/>
  <c r="K31" i="1"/>
  <c r="J31" i="1"/>
  <c r="K30" i="1"/>
  <c r="J30" i="1"/>
  <c r="K29" i="1"/>
  <c r="J29" i="1"/>
  <c r="K28" i="1"/>
  <c r="J28" i="1"/>
  <c r="K27" i="1"/>
  <c r="J27" i="1"/>
  <c r="K26" i="1"/>
  <c r="J26" i="1"/>
  <c r="K25" i="1"/>
  <c r="J25" i="1"/>
  <c r="K24" i="1"/>
  <c r="J24" i="1"/>
  <c r="K23" i="1"/>
  <c r="J23" i="1"/>
  <c r="K22" i="1"/>
  <c r="J22" i="1"/>
  <c r="K21" i="1"/>
  <c r="J21" i="1"/>
  <c r="K20" i="1"/>
  <c r="J20" i="1"/>
  <c r="K19" i="1"/>
  <c r="J19" i="1"/>
  <c r="K18" i="1"/>
  <c r="J18" i="1"/>
  <c r="K17" i="1"/>
  <c r="J17" i="1"/>
  <c r="K16" i="1"/>
  <c r="J16" i="1"/>
  <c r="K15" i="1"/>
  <c r="J15" i="1"/>
  <c r="K14" i="1"/>
  <c r="J14" i="1"/>
  <c r="D4" i="1" s="1"/>
  <c r="D7" i="1" s="1"/>
  <c r="K13" i="1"/>
  <c r="J13" i="1"/>
  <c r="K12" i="1"/>
  <c r="J12" i="1"/>
  <c r="D6" i="1" s="1"/>
  <c r="D10" i="1"/>
  <c r="L10" i="1" s="1"/>
  <c r="L8" i="1"/>
  <c r="L7" i="1"/>
  <c r="L5" i="1"/>
  <c r="L4" i="1"/>
  <c r="D3" i="1"/>
  <c r="D8" i="1" s="1"/>
  <c r="L2" i="1"/>
  <c r="D5" i="1" l="1"/>
  <c r="L3" i="1"/>
  <c r="A12" i="4" l="1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C12" i="4" l="1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11" i="4"/>
  <c r="D12" i="4" l="1"/>
  <c r="E12" i="4"/>
  <c r="D13" i="4"/>
  <c r="E13" i="4"/>
  <c r="D14" i="4"/>
  <c r="E14" i="4"/>
  <c r="F14" i="4"/>
  <c r="G14" i="4"/>
  <c r="D15" i="4"/>
  <c r="E15" i="4"/>
  <c r="F15" i="4"/>
  <c r="G15" i="4"/>
  <c r="D16" i="4"/>
  <c r="E16" i="4"/>
  <c r="F16" i="4"/>
  <c r="G16" i="4"/>
  <c r="D17" i="4"/>
  <c r="E17" i="4"/>
  <c r="F17" i="4"/>
  <c r="G17" i="4"/>
  <c r="D18" i="4"/>
  <c r="E18" i="4"/>
  <c r="F18" i="4"/>
  <c r="G18" i="4"/>
  <c r="D19" i="4"/>
  <c r="E19" i="4"/>
  <c r="F19" i="4"/>
  <c r="G19" i="4"/>
  <c r="D20" i="4"/>
  <c r="E20" i="4"/>
  <c r="D21" i="4"/>
  <c r="E21" i="4"/>
  <c r="D22" i="4"/>
  <c r="E22" i="4"/>
  <c r="F22" i="4"/>
  <c r="D23" i="4"/>
  <c r="E23" i="4"/>
  <c r="D24" i="4"/>
  <c r="E24" i="4"/>
  <c r="D25" i="4"/>
  <c r="E25" i="4"/>
  <c r="F25" i="4"/>
  <c r="G25" i="4"/>
  <c r="D26" i="4"/>
  <c r="E26" i="4"/>
  <c r="F26" i="4"/>
  <c r="G26" i="4"/>
  <c r="D27" i="4"/>
  <c r="E27" i="4"/>
  <c r="F27" i="4"/>
  <c r="G27" i="4"/>
  <c r="D28" i="4"/>
  <c r="E28" i="4"/>
  <c r="F28" i="4"/>
  <c r="G28" i="4"/>
  <c r="D29" i="4"/>
  <c r="E29" i="4"/>
  <c r="F29" i="4"/>
  <c r="G29" i="4"/>
  <c r="D30" i="4"/>
  <c r="E30" i="4"/>
  <c r="F30" i="4"/>
  <c r="G30" i="4"/>
  <c r="D31" i="4"/>
  <c r="E31" i="4"/>
  <c r="F31" i="4"/>
  <c r="G31" i="4"/>
  <c r="D32" i="4"/>
  <c r="E32" i="4"/>
  <c r="F32" i="4"/>
  <c r="G32" i="4"/>
  <c r="D33" i="4"/>
  <c r="E33" i="4"/>
  <c r="F33" i="4"/>
  <c r="G33" i="4"/>
  <c r="D34" i="4"/>
  <c r="E34" i="4"/>
  <c r="F34" i="4"/>
  <c r="G34" i="4"/>
  <c r="D35" i="4"/>
  <c r="E35" i="4"/>
  <c r="F35" i="4"/>
  <c r="G35" i="4"/>
  <c r="D36" i="4"/>
  <c r="E36" i="4"/>
  <c r="F36" i="4"/>
  <c r="G36" i="4"/>
  <c r="D37" i="4"/>
  <c r="E37" i="4"/>
  <c r="F37" i="4"/>
  <c r="G37" i="4"/>
  <c r="D38" i="4"/>
  <c r="E38" i="4"/>
  <c r="F38" i="4"/>
  <c r="G38" i="4"/>
  <c r="D39" i="4"/>
  <c r="E39" i="4"/>
  <c r="F39" i="4"/>
  <c r="G39" i="4"/>
  <c r="D40" i="4"/>
  <c r="E40" i="4"/>
  <c r="F40" i="4"/>
  <c r="G40" i="4"/>
  <c r="B41" i="4"/>
  <c r="D41" i="4"/>
  <c r="E41" i="4"/>
  <c r="F41" i="4"/>
  <c r="G41" i="4"/>
  <c r="D42" i="4"/>
  <c r="E42" i="4"/>
  <c r="F42" i="4"/>
  <c r="G42" i="4"/>
  <c r="D43" i="4"/>
  <c r="E43" i="4"/>
  <c r="F43" i="4"/>
  <c r="G43" i="4"/>
  <c r="D44" i="4"/>
  <c r="E44" i="4"/>
  <c r="F44" i="4"/>
  <c r="G44" i="4"/>
  <c r="D45" i="4"/>
  <c r="E45" i="4"/>
  <c r="F45" i="4"/>
  <c r="G45" i="4"/>
  <c r="D46" i="4"/>
  <c r="E46" i="4"/>
  <c r="F46" i="4"/>
  <c r="G46" i="4"/>
  <c r="D47" i="4"/>
  <c r="E47" i="4"/>
  <c r="F47" i="4"/>
  <c r="G47" i="4"/>
  <c r="D48" i="4"/>
  <c r="E48" i="4"/>
  <c r="F48" i="4"/>
  <c r="G48" i="4"/>
  <c r="D49" i="4"/>
  <c r="E49" i="4"/>
  <c r="F49" i="4"/>
  <c r="G49" i="4"/>
  <c r="D50" i="4"/>
  <c r="E50" i="4"/>
  <c r="F50" i="4"/>
  <c r="G50" i="4"/>
  <c r="D51" i="4"/>
  <c r="E51" i="4"/>
  <c r="F51" i="4"/>
  <c r="G51" i="4"/>
  <c r="D52" i="4"/>
  <c r="E52" i="4"/>
  <c r="F52" i="4"/>
  <c r="G52" i="4"/>
  <c r="D53" i="4"/>
  <c r="E53" i="4"/>
  <c r="F53" i="4"/>
  <c r="G53" i="4"/>
  <c r="D54" i="4"/>
  <c r="E54" i="4"/>
  <c r="F54" i="4"/>
  <c r="G54" i="4"/>
  <c r="D55" i="4"/>
  <c r="E55" i="4"/>
  <c r="F55" i="4"/>
  <c r="G55" i="4"/>
  <c r="D56" i="4"/>
  <c r="E56" i="4"/>
  <c r="F56" i="4"/>
  <c r="G56" i="4"/>
  <c r="D57" i="4"/>
  <c r="E57" i="4"/>
  <c r="F57" i="4"/>
  <c r="G57" i="4"/>
  <c r="D58" i="4"/>
  <c r="E58" i="4"/>
  <c r="F58" i="4"/>
  <c r="G58" i="4"/>
  <c r="D59" i="4"/>
  <c r="E59" i="4"/>
  <c r="F59" i="4"/>
  <c r="G59" i="4"/>
  <c r="D60" i="4"/>
  <c r="E60" i="4"/>
  <c r="F60" i="4"/>
  <c r="G60" i="4"/>
  <c r="D61" i="4"/>
  <c r="E61" i="4"/>
  <c r="F61" i="4"/>
  <c r="G61" i="4"/>
  <c r="D62" i="4"/>
  <c r="E62" i="4"/>
  <c r="F62" i="4"/>
  <c r="G62" i="4"/>
  <c r="D63" i="4"/>
  <c r="E63" i="4"/>
  <c r="F63" i="4"/>
  <c r="G63" i="4"/>
  <c r="D64" i="4"/>
  <c r="E64" i="4"/>
  <c r="F64" i="4"/>
  <c r="G64" i="4"/>
  <c r="D65" i="4"/>
  <c r="E65" i="4"/>
  <c r="F65" i="4"/>
  <c r="G65" i="4"/>
  <c r="D66" i="4"/>
  <c r="E66" i="4"/>
  <c r="F66" i="4"/>
  <c r="G66" i="4"/>
  <c r="D67" i="4"/>
  <c r="E67" i="4"/>
  <c r="F67" i="4"/>
  <c r="G67" i="4"/>
  <c r="D68" i="4"/>
  <c r="E68" i="4"/>
  <c r="F68" i="4"/>
  <c r="G68" i="4"/>
  <c r="D69" i="4"/>
  <c r="E69" i="4"/>
  <c r="F69" i="4"/>
  <c r="G69" i="4"/>
  <c r="D70" i="4"/>
  <c r="E70" i="4"/>
  <c r="F70" i="4"/>
  <c r="G70" i="4"/>
  <c r="D71" i="4"/>
  <c r="E71" i="4"/>
  <c r="F71" i="4"/>
  <c r="G71" i="4"/>
  <c r="D72" i="4"/>
  <c r="E72" i="4"/>
  <c r="F72" i="4"/>
  <c r="G72" i="4"/>
  <c r="D73" i="4"/>
  <c r="E73" i="4"/>
  <c r="F73" i="4"/>
  <c r="G73" i="4"/>
  <c r="D74" i="4"/>
  <c r="E74" i="4"/>
  <c r="F74" i="4"/>
  <c r="G74" i="4"/>
  <c r="D75" i="4"/>
  <c r="E75" i="4"/>
  <c r="F75" i="4"/>
  <c r="G75" i="4"/>
  <c r="D76" i="4"/>
  <c r="E76" i="4"/>
  <c r="F76" i="4"/>
  <c r="G76" i="4"/>
  <c r="D77" i="4"/>
  <c r="E77" i="4"/>
  <c r="F77" i="4"/>
  <c r="G77" i="4"/>
  <c r="D78" i="4"/>
  <c r="E78" i="4"/>
  <c r="F78" i="4"/>
  <c r="G78" i="4"/>
  <c r="D79" i="4"/>
  <c r="E79" i="4"/>
  <c r="F79" i="4"/>
  <c r="G79" i="4"/>
  <c r="D80" i="4"/>
  <c r="E80" i="4"/>
  <c r="F80" i="4"/>
  <c r="G80" i="4"/>
  <c r="D81" i="4"/>
  <c r="E81" i="4"/>
  <c r="F81" i="4"/>
  <c r="G81" i="4"/>
  <c r="D82" i="4"/>
  <c r="E82" i="4"/>
  <c r="F82" i="4"/>
  <c r="G82" i="4"/>
  <c r="D83" i="4"/>
  <c r="E83" i="4"/>
  <c r="F83" i="4"/>
  <c r="G83" i="4"/>
  <c r="D84" i="4"/>
  <c r="E84" i="4"/>
  <c r="F84" i="4"/>
  <c r="G84" i="4"/>
  <c r="D85" i="4"/>
  <c r="E85" i="4"/>
  <c r="F85" i="4"/>
  <c r="G85" i="4"/>
  <c r="D86" i="4"/>
  <c r="E86" i="4"/>
  <c r="F86" i="4"/>
  <c r="G86" i="4"/>
  <c r="D87" i="4"/>
  <c r="E87" i="4"/>
  <c r="F87" i="4"/>
  <c r="G87" i="4"/>
  <c r="D88" i="4"/>
  <c r="E88" i="4"/>
  <c r="F88" i="4"/>
  <c r="G88" i="4"/>
  <c r="D89" i="4"/>
  <c r="E89" i="4"/>
  <c r="F89" i="4"/>
  <c r="G89" i="4"/>
  <c r="D90" i="4"/>
  <c r="E90" i="4"/>
  <c r="F90" i="4"/>
  <c r="G90" i="4"/>
  <c r="D91" i="4"/>
  <c r="E91" i="4"/>
  <c r="F91" i="4"/>
  <c r="G91" i="4"/>
  <c r="D92" i="4"/>
  <c r="E92" i="4"/>
  <c r="F92" i="4"/>
  <c r="G92" i="4"/>
  <c r="D93" i="4"/>
  <c r="E93" i="4"/>
  <c r="F93" i="4"/>
  <c r="G93" i="4"/>
  <c r="D94" i="4"/>
  <c r="E94" i="4"/>
  <c r="F94" i="4"/>
  <c r="G94" i="4"/>
  <c r="D95" i="4"/>
  <c r="E95" i="4"/>
  <c r="F95" i="4"/>
  <c r="G95" i="4"/>
  <c r="D96" i="4"/>
  <c r="E96" i="4"/>
  <c r="F96" i="4"/>
  <c r="G96" i="4"/>
  <c r="D97" i="4"/>
  <c r="E97" i="4"/>
  <c r="F97" i="4"/>
  <c r="G97" i="4"/>
  <c r="D98" i="4"/>
  <c r="E98" i="4"/>
  <c r="F98" i="4"/>
  <c r="G98" i="4"/>
  <c r="D99" i="4"/>
  <c r="E99" i="4"/>
  <c r="F99" i="4"/>
  <c r="G99" i="4"/>
  <c r="D100" i="4"/>
  <c r="E100" i="4"/>
  <c r="F100" i="4"/>
  <c r="G100" i="4"/>
  <c r="D101" i="4"/>
  <c r="E101" i="4"/>
  <c r="F101" i="4"/>
  <c r="G101" i="4"/>
  <c r="D102" i="4"/>
  <c r="E102" i="4"/>
  <c r="F102" i="4"/>
  <c r="G102" i="4"/>
  <c r="D103" i="4"/>
  <c r="E103" i="4"/>
  <c r="F103" i="4"/>
  <c r="G103" i="4"/>
  <c r="D104" i="4"/>
  <c r="E104" i="4"/>
  <c r="F104" i="4"/>
  <c r="G104" i="4"/>
  <c r="D105" i="4"/>
  <c r="E105" i="4"/>
  <c r="F105" i="4"/>
  <c r="G105" i="4"/>
  <c r="D106" i="4"/>
  <c r="E106" i="4"/>
  <c r="F106" i="4"/>
  <c r="G106" i="4"/>
  <c r="D107" i="4"/>
  <c r="E107" i="4"/>
  <c r="F107" i="4"/>
  <c r="G107" i="4"/>
  <c r="D108" i="4"/>
  <c r="E108" i="4"/>
  <c r="F108" i="4"/>
  <c r="G108" i="4"/>
  <c r="D109" i="4"/>
  <c r="E109" i="4"/>
  <c r="F109" i="4"/>
  <c r="G109" i="4"/>
  <c r="D110" i="4"/>
  <c r="E110" i="4"/>
  <c r="F110" i="4"/>
  <c r="G110" i="4"/>
  <c r="D111" i="4"/>
  <c r="E111" i="4"/>
  <c r="F111" i="4"/>
  <c r="G111" i="4"/>
  <c r="D112" i="4"/>
  <c r="E112" i="4"/>
  <c r="F112" i="4"/>
  <c r="G112" i="4"/>
  <c r="D113" i="4"/>
  <c r="E113" i="4"/>
  <c r="F113" i="4"/>
  <c r="G113" i="4"/>
  <c r="D114" i="4"/>
  <c r="E114" i="4"/>
  <c r="F114" i="4"/>
  <c r="G114" i="4"/>
  <c r="D115" i="4"/>
  <c r="E115" i="4"/>
  <c r="F115" i="4"/>
  <c r="G115" i="4"/>
  <c r="D116" i="4"/>
  <c r="E116" i="4"/>
  <c r="F116" i="4"/>
  <c r="G116" i="4"/>
  <c r="D117" i="4"/>
  <c r="E117" i="4"/>
  <c r="F117" i="4"/>
  <c r="G117" i="4"/>
  <c r="D118" i="4"/>
  <c r="E118" i="4"/>
  <c r="F118" i="4"/>
  <c r="G118" i="4"/>
  <c r="D119" i="4"/>
  <c r="E119" i="4"/>
  <c r="F119" i="4"/>
  <c r="G119" i="4"/>
  <c r="D120" i="4"/>
  <c r="E120" i="4"/>
  <c r="F120" i="4"/>
  <c r="G120" i="4"/>
  <c r="D121" i="4"/>
  <c r="E121" i="4"/>
  <c r="F121" i="4"/>
  <c r="G121" i="4"/>
  <c r="D122" i="4"/>
  <c r="E122" i="4"/>
  <c r="F122" i="4"/>
  <c r="G122" i="4"/>
  <c r="D123" i="4"/>
  <c r="E123" i="4"/>
  <c r="F123" i="4"/>
  <c r="G123" i="4"/>
  <c r="D124" i="4"/>
  <c r="E124" i="4"/>
  <c r="F124" i="4"/>
  <c r="G124" i="4"/>
  <c r="D125" i="4"/>
  <c r="E125" i="4"/>
  <c r="F125" i="4"/>
  <c r="G125" i="4"/>
  <c r="D126" i="4"/>
  <c r="E126" i="4"/>
  <c r="F126" i="4"/>
  <c r="G126" i="4"/>
  <c r="D127" i="4"/>
  <c r="E127" i="4"/>
  <c r="F127" i="4"/>
  <c r="G127" i="4"/>
  <c r="D128" i="4"/>
  <c r="E128" i="4"/>
  <c r="F128" i="4"/>
  <c r="G128" i="4"/>
  <c r="D129" i="4"/>
  <c r="E129" i="4"/>
  <c r="F129" i="4"/>
  <c r="G129" i="4"/>
  <c r="D130" i="4"/>
  <c r="E130" i="4"/>
  <c r="F130" i="4"/>
  <c r="G130" i="4"/>
  <c r="D131" i="4"/>
  <c r="E131" i="4"/>
  <c r="F131" i="4"/>
  <c r="G131" i="4"/>
  <c r="D132" i="4"/>
  <c r="E132" i="4"/>
  <c r="F132" i="4"/>
  <c r="G132" i="4"/>
  <c r="D133" i="4"/>
  <c r="E133" i="4"/>
  <c r="F133" i="4"/>
  <c r="G133" i="4"/>
  <c r="D134" i="4"/>
  <c r="E134" i="4"/>
  <c r="F134" i="4"/>
  <c r="G134" i="4"/>
  <c r="D135" i="4"/>
  <c r="E135" i="4"/>
  <c r="F135" i="4"/>
  <c r="G135" i="4"/>
  <c r="D136" i="4"/>
  <c r="E136" i="4"/>
  <c r="F136" i="4"/>
  <c r="G136" i="4"/>
  <c r="D137" i="4"/>
  <c r="E137" i="4"/>
  <c r="F137" i="4"/>
  <c r="G137" i="4"/>
  <c r="D138" i="4"/>
  <c r="E138" i="4"/>
  <c r="F138" i="4"/>
  <c r="G138" i="4"/>
  <c r="D139" i="4"/>
  <c r="E139" i="4"/>
  <c r="F139" i="4"/>
  <c r="G139" i="4"/>
  <c r="D140" i="4"/>
  <c r="E140" i="4"/>
  <c r="F140" i="4"/>
  <c r="G140" i="4"/>
  <c r="D141" i="4"/>
  <c r="E141" i="4"/>
  <c r="F141" i="4"/>
  <c r="G141" i="4"/>
  <c r="D142" i="4"/>
  <c r="E142" i="4"/>
  <c r="F142" i="4"/>
  <c r="G142" i="4"/>
  <c r="D143" i="4"/>
  <c r="E143" i="4"/>
  <c r="F143" i="4"/>
  <c r="G143" i="4"/>
  <c r="D144" i="4"/>
  <c r="E144" i="4"/>
  <c r="F144" i="4"/>
  <c r="G144" i="4"/>
  <c r="D145" i="4"/>
  <c r="E145" i="4"/>
  <c r="F145" i="4"/>
  <c r="G145" i="4"/>
  <c r="D146" i="4"/>
  <c r="E146" i="4"/>
  <c r="F146" i="4"/>
  <c r="G146" i="4"/>
  <c r="D147" i="4"/>
  <c r="E147" i="4"/>
  <c r="F147" i="4"/>
  <c r="G147" i="4"/>
  <c r="D148" i="4"/>
  <c r="E148" i="4"/>
  <c r="F148" i="4"/>
  <c r="G148" i="4"/>
  <c r="D149" i="4"/>
  <c r="E149" i="4"/>
  <c r="F149" i="4"/>
  <c r="G149" i="4"/>
  <c r="D150" i="4"/>
  <c r="E150" i="4"/>
  <c r="F150" i="4"/>
  <c r="G150" i="4"/>
  <c r="D151" i="4"/>
  <c r="E151" i="4"/>
  <c r="F151" i="4"/>
  <c r="G151" i="4"/>
  <c r="D152" i="4"/>
  <c r="E152" i="4"/>
  <c r="F152" i="4"/>
  <c r="G152" i="4"/>
  <c r="D153" i="4"/>
  <c r="E153" i="4"/>
  <c r="F153" i="4"/>
  <c r="G153" i="4"/>
  <c r="D154" i="4"/>
  <c r="E154" i="4"/>
  <c r="F154" i="4"/>
  <c r="G154" i="4"/>
  <c r="D155" i="4"/>
  <c r="E155" i="4"/>
  <c r="F155" i="4"/>
  <c r="G155" i="4"/>
  <c r="D156" i="4"/>
  <c r="E156" i="4"/>
  <c r="F156" i="4"/>
  <c r="G156" i="4"/>
  <c r="D157" i="4"/>
  <c r="E157" i="4"/>
  <c r="F157" i="4"/>
  <c r="G157" i="4"/>
  <c r="D158" i="4"/>
  <c r="E158" i="4"/>
  <c r="F158" i="4"/>
  <c r="G158" i="4"/>
  <c r="D159" i="4"/>
  <c r="E159" i="4"/>
  <c r="F159" i="4"/>
  <c r="G159" i="4"/>
  <c r="D160" i="4"/>
  <c r="E160" i="4"/>
  <c r="F160" i="4"/>
  <c r="G160" i="4"/>
  <c r="D161" i="4"/>
  <c r="E161" i="4"/>
  <c r="F161" i="4"/>
  <c r="G161" i="4"/>
  <c r="D162" i="4"/>
  <c r="E162" i="4"/>
  <c r="F162" i="4"/>
  <c r="G162" i="4"/>
  <c r="D163" i="4"/>
  <c r="E163" i="4"/>
  <c r="F163" i="4"/>
  <c r="G163" i="4"/>
  <c r="D164" i="4"/>
  <c r="E164" i="4"/>
  <c r="F164" i="4"/>
  <c r="G164" i="4"/>
  <c r="D165" i="4"/>
  <c r="E165" i="4"/>
  <c r="F165" i="4"/>
  <c r="G165" i="4"/>
  <c r="D166" i="4"/>
  <c r="E166" i="4"/>
  <c r="F166" i="4"/>
  <c r="G166" i="4"/>
  <c r="D167" i="4"/>
  <c r="E167" i="4"/>
  <c r="F167" i="4"/>
  <c r="G167" i="4"/>
  <c r="D168" i="4"/>
  <c r="E168" i="4"/>
  <c r="F168" i="4"/>
  <c r="G168" i="4"/>
  <c r="D169" i="4"/>
  <c r="E169" i="4"/>
  <c r="F169" i="4"/>
  <c r="G169" i="4"/>
  <c r="D170" i="4"/>
  <c r="E170" i="4"/>
  <c r="F170" i="4"/>
  <c r="G170" i="4"/>
  <c r="D171" i="4"/>
  <c r="E171" i="4"/>
  <c r="F171" i="4"/>
  <c r="G171" i="4"/>
  <c r="D172" i="4"/>
  <c r="E172" i="4"/>
  <c r="F172" i="4"/>
  <c r="G172" i="4"/>
  <c r="D173" i="4"/>
  <c r="E173" i="4"/>
  <c r="F173" i="4"/>
  <c r="G173" i="4"/>
  <c r="D174" i="4"/>
  <c r="E174" i="4"/>
  <c r="F174" i="4"/>
  <c r="G174" i="4"/>
  <c r="D175" i="4"/>
  <c r="E175" i="4"/>
  <c r="F175" i="4"/>
  <c r="G175" i="4"/>
  <c r="D176" i="4"/>
  <c r="E176" i="4"/>
  <c r="F176" i="4"/>
  <c r="G176" i="4"/>
  <c r="D177" i="4"/>
  <c r="E177" i="4"/>
  <c r="F177" i="4"/>
  <c r="G177" i="4"/>
  <c r="D178" i="4"/>
  <c r="E178" i="4"/>
  <c r="F178" i="4"/>
  <c r="G178" i="4"/>
  <c r="D179" i="4"/>
  <c r="E179" i="4"/>
  <c r="F179" i="4"/>
  <c r="G179" i="4"/>
  <c r="D180" i="4"/>
  <c r="E180" i="4"/>
  <c r="F180" i="4"/>
  <c r="G180" i="4"/>
  <c r="D181" i="4"/>
  <c r="E181" i="4"/>
  <c r="F181" i="4"/>
  <c r="G181" i="4"/>
  <c r="D182" i="4"/>
  <c r="E182" i="4"/>
  <c r="F182" i="4"/>
  <c r="G182" i="4"/>
  <c r="D183" i="4"/>
  <c r="E183" i="4"/>
  <c r="F183" i="4"/>
  <c r="G183" i="4"/>
  <c r="D184" i="4"/>
  <c r="E184" i="4"/>
  <c r="F184" i="4"/>
  <c r="G184" i="4"/>
  <c r="D185" i="4"/>
  <c r="E185" i="4"/>
  <c r="F185" i="4"/>
  <c r="G185" i="4"/>
  <c r="D186" i="4"/>
  <c r="E186" i="4"/>
  <c r="F186" i="4"/>
  <c r="G186" i="4"/>
  <c r="D187" i="4"/>
  <c r="E187" i="4"/>
  <c r="F187" i="4"/>
  <c r="G187" i="4"/>
  <c r="D188" i="4"/>
  <c r="E188" i="4"/>
  <c r="F188" i="4"/>
  <c r="G188" i="4"/>
  <c r="D189" i="4"/>
  <c r="E189" i="4"/>
  <c r="F189" i="4"/>
  <c r="G189" i="4"/>
  <c r="D190" i="4"/>
  <c r="E190" i="4"/>
  <c r="F190" i="4"/>
  <c r="G190" i="4"/>
  <c r="D191" i="4"/>
  <c r="E191" i="4"/>
  <c r="F191" i="4"/>
  <c r="G191" i="4"/>
  <c r="D192" i="4"/>
  <c r="E192" i="4"/>
  <c r="F192" i="4"/>
  <c r="G192" i="4"/>
  <c r="D193" i="4"/>
  <c r="E193" i="4"/>
  <c r="F193" i="4"/>
  <c r="G193" i="4"/>
  <c r="D194" i="4"/>
  <c r="E194" i="4"/>
  <c r="F194" i="4"/>
  <c r="G194" i="4"/>
  <c r="D195" i="4"/>
  <c r="E195" i="4"/>
  <c r="F195" i="4"/>
  <c r="G195" i="4"/>
  <c r="D196" i="4"/>
  <c r="E196" i="4"/>
  <c r="F196" i="4"/>
  <c r="G196" i="4"/>
  <c r="D197" i="4"/>
  <c r="E197" i="4"/>
  <c r="F197" i="4"/>
  <c r="G197" i="4"/>
  <c r="D198" i="4"/>
  <c r="E198" i="4"/>
  <c r="F198" i="4"/>
  <c r="G198" i="4"/>
  <c r="D199" i="4"/>
  <c r="E199" i="4"/>
  <c r="F199" i="4"/>
  <c r="G199" i="4"/>
  <c r="D200" i="4"/>
  <c r="E200" i="4"/>
  <c r="F200" i="4"/>
  <c r="G200" i="4"/>
  <c r="D201" i="4"/>
  <c r="E201" i="4"/>
  <c r="F201" i="4"/>
  <c r="G201" i="4"/>
  <c r="D202" i="4"/>
  <c r="E202" i="4"/>
  <c r="F202" i="4"/>
  <c r="G202" i="4"/>
  <c r="D203" i="4"/>
  <c r="E203" i="4"/>
  <c r="F203" i="4"/>
  <c r="G203" i="4"/>
  <c r="D204" i="4"/>
  <c r="E204" i="4"/>
  <c r="F204" i="4"/>
  <c r="G204" i="4"/>
  <c r="D205" i="4"/>
  <c r="E205" i="4"/>
  <c r="F205" i="4"/>
  <c r="G205" i="4"/>
  <c r="D206" i="4"/>
  <c r="E206" i="4"/>
  <c r="F206" i="4"/>
  <c r="G206" i="4"/>
  <c r="D207" i="4"/>
  <c r="E207" i="4"/>
  <c r="F207" i="4"/>
  <c r="G207" i="4"/>
  <c r="D208" i="4"/>
  <c r="E208" i="4"/>
  <c r="F208" i="4"/>
  <c r="G208" i="4"/>
  <c r="D209" i="4"/>
  <c r="E209" i="4"/>
  <c r="F209" i="4"/>
  <c r="G209" i="4"/>
  <c r="D210" i="4"/>
  <c r="E210" i="4"/>
  <c r="F210" i="4"/>
  <c r="G210" i="4"/>
  <c r="D211" i="4"/>
  <c r="E211" i="4"/>
  <c r="F211" i="4"/>
  <c r="G211" i="4"/>
  <c r="D212" i="4"/>
  <c r="E212" i="4"/>
  <c r="F212" i="4"/>
  <c r="G212" i="4"/>
  <c r="D213" i="4"/>
  <c r="E213" i="4"/>
  <c r="F213" i="4"/>
  <c r="G213" i="4"/>
  <c r="D214" i="4"/>
  <c r="E214" i="4"/>
  <c r="F214" i="4"/>
  <c r="G214" i="4"/>
  <c r="D215" i="4"/>
  <c r="E215" i="4"/>
  <c r="F215" i="4"/>
  <c r="G215" i="4"/>
  <c r="D216" i="4"/>
  <c r="E216" i="4"/>
  <c r="F216" i="4"/>
  <c r="G216" i="4"/>
  <c r="D217" i="4"/>
  <c r="E217" i="4"/>
  <c r="F217" i="4"/>
  <c r="G217" i="4"/>
  <c r="D218" i="4"/>
  <c r="E218" i="4"/>
  <c r="F218" i="4"/>
  <c r="G218" i="4"/>
  <c r="D219" i="4"/>
  <c r="E219" i="4"/>
  <c r="F219" i="4"/>
  <c r="G219" i="4"/>
  <c r="D220" i="4"/>
  <c r="E220" i="4"/>
  <c r="F220" i="4"/>
  <c r="G220" i="4"/>
  <c r="D221" i="4"/>
  <c r="E221" i="4"/>
  <c r="F221" i="4"/>
  <c r="G221" i="4"/>
  <c r="D222" i="4"/>
  <c r="E222" i="4"/>
  <c r="F222" i="4"/>
  <c r="G222" i="4"/>
  <c r="D223" i="4"/>
  <c r="E223" i="4"/>
  <c r="F223" i="4"/>
  <c r="G223" i="4"/>
  <c r="D224" i="4"/>
  <c r="E224" i="4"/>
  <c r="F224" i="4"/>
  <c r="G224" i="4"/>
  <c r="D225" i="4"/>
  <c r="E225" i="4"/>
  <c r="F225" i="4"/>
  <c r="G225" i="4"/>
  <c r="D226" i="4"/>
  <c r="E226" i="4"/>
  <c r="F226" i="4"/>
  <c r="G226" i="4"/>
  <c r="D227" i="4"/>
  <c r="E227" i="4"/>
  <c r="F227" i="4"/>
  <c r="G227" i="4"/>
  <c r="D228" i="4"/>
  <c r="E228" i="4"/>
  <c r="F228" i="4"/>
  <c r="G228" i="4"/>
  <c r="D229" i="4"/>
  <c r="E229" i="4"/>
  <c r="F229" i="4"/>
  <c r="G229" i="4"/>
  <c r="D230" i="4"/>
  <c r="E230" i="4"/>
  <c r="F230" i="4"/>
  <c r="G230" i="4"/>
  <c r="D231" i="4"/>
  <c r="E231" i="4"/>
  <c r="F231" i="4"/>
  <c r="G231" i="4"/>
  <c r="D232" i="4"/>
  <c r="E232" i="4"/>
  <c r="F232" i="4"/>
  <c r="G232" i="4"/>
  <c r="D233" i="4"/>
  <c r="E233" i="4"/>
  <c r="F233" i="4"/>
  <c r="G233" i="4"/>
  <c r="D234" i="4"/>
  <c r="E234" i="4"/>
  <c r="F234" i="4"/>
  <c r="G234" i="4"/>
  <c r="D235" i="4"/>
  <c r="E235" i="4"/>
  <c r="F235" i="4"/>
  <c r="G235" i="4"/>
  <c r="D236" i="4"/>
  <c r="E236" i="4"/>
  <c r="F236" i="4"/>
  <c r="G236" i="4"/>
  <c r="D237" i="4"/>
  <c r="E237" i="4"/>
  <c r="F237" i="4"/>
  <c r="G237" i="4"/>
  <c r="D238" i="4"/>
  <c r="E238" i="4"/>
  <c r="F238" i="4"/>
  <c r="G238" i="4"/>
  <c r="D239" i="4"/>
  <c r="E239" i="4"/>
  <c r="F239" i="4"/>
  <c r="G239" i="4"/>
  <c r="D240" i="4"/>
  <c r="E240" i="4"/>
  <c r="F240" i="4"/>
  <c r="G240" i="4"/>
  <c r="D241" i="4"/>
  <c r="E241" i="4"/>
  <c r="F241" i="4"/>
  <c r="G241" i="4"/>
  <c r="D242" i="4"/>
  <c r="E242" i="4"/>
  <c r="F242" i="4"/>
  <c r="G242" i="4"/>
  <c r="D243" i="4"/>
  <c r="E243" i="4"/>
  <c r="F243" i="4"/>
  <c r="G243" i="4"/>
  <c r="D244" i="4"/>
  <c r="E244" i="4"/>
  <c r="F244" i="4"/>
  <c r="G244" i="4"/>
  <c r="D245" i="4"/>
  <c r="E245" i="4"/>
  <c r="F245" i="4"/>
  <c r="G245" i="4"/>
  <c r="D246" i="4"/>
  <c r="E246" i="4"/>
  <c r="F246" i="4"/>
  <c r="G246" i="4"/>
  <c r="D247" i="4"/>
  <c r="E247" i="4"/>
  <c r="F247" i="4"/>
  <c r="G247" i="4"/>
  <c r="D248" i="4"/>
  <c r="E248" i="4"/>
  <c r="F248" i="4"/>
  <c r="G248" i="4"/>
  <c r="D249" i="4"/>
  <c r="E249" i="4"/>
  <c r="F249" i="4"/>
  <c r="G249" i="4"/>
  <c r="D250" i="4"/>
  <c r="E250" i="4"/>
  <c r="F250" i="4"/>
  <c r="G250" i="4"/>
  <c r="D251" i="4"/>
  <c r="E251" i="4"/>
  <c r="F251" i="4"/>
  <c r="G251" i="4"/>
  <c r="D252" i="4"/>
  <c r="E252" i="4"/>
  <c r="F252" i="4"/>
  <c r="G252" i="4"/>
  <c r="D253" i="4"/>
  <c r="E253" i="4"/>
  <c r="F253" i="4"/>
  <c r="G253" i="4"/>
  <c r="D254" i="4"/>
  <c r="E254" i="4"/>
  <c r="F254" i="4"/>
  <c r="G254" i="4"/>
  <c r="D255" i="4"/>
  <c r="E255" i="4"/>
  <c r="F255" i="4"/>
  <c r="G255" i="4"/>
  <c r="D256" i="4"/>
  <c r="E256" i="4"/>
  <c r="F256" i="4"/>
  <c r="G256" i="4"/>
  <c r="D257" i="4"/>
  <c r="E257" i="4"/>
  <c r="F257" i="4"/>
  <c r="G257" i="4"/>
  <c r="D258" i="4"/>
  <c r="E258" i="4"/>
  <c r="F258" i="4"/>
  <c r="G258" i="4"/>
  <c r="D259" i="4"/>
  <c r="E259" i="4"/>
  <c r="F259" i="4"/>
  <c r="G259" i="4"/>
  <c r="D260" i="4"/>
  <c r="E260" i="4"/>
  <c r="F260" i="4"/>
  <c r="G260" i="4"/>
  <c r="D261" i="4"/>
  <c r="E261" i="4"/>
  <c r="F261" i="4"/>
  <c r="G261" i="4"/>
  <c r="D262" i="4"/>
  <c r="E262" i="4"/>
  <c r="F262" i="4"/>
  <c r="G262" i="4"/>
  <c r="D263" i="4"/>
  <c r="E263" i="4"/>
  <c r="F263" i="4"/>
  <c r="G263" i="4"/>
  <c r="D264" i="4"/>
  <c r="E264" i="4"/>
  <c r="F264" i="4"/>
  <c r="G264" i="4"/>
  <c r="D265" i="4"/>
  <c r="E265" i="4"/>
  <c r="F265" i="4"/>
  <c r="G265" i="4"/>
  <c r="D266" i="4"/>
  <c r="E266" i="4"/>
  <c r="F266" i="4"/>
  <c r="G266" i="4"/>
  <c r="D267" i="4"/>
  <c r="E267" i="4"/>
  <c r="F267" i="4"/>
  <c r="G267" i="4"/>
  <c r="D268" i="4"/>
  <c r="E268" i="4"/>
  <c r="F268" i="4"/>
  <c r="G268" i="4"/>
  <c r="D269" i="4"/>
  <c r="E269" i="4"/>
  <c r="F269" i="4"/>
  <c r="G269" i="4"/>
  <c r="D270" i="4"/>
  <c r="E270" i="4"/>
  <c r="F270" i="4"/>
  <c r="G270" i="4"/>
  <c r="D271" i="4"/>
  <c r="E271" i="4"/>
  <c r="F271" i="4"/>
  <c r="G271" i="4"/>
  <c r="D272" i="4"/>
  <c r="E272" i="4"/>
  <c r="F272" i="4"/>
  <c r="G272" i="4"/>
  <c r="D273" i="4"/>
  <c r="E273" i="4"/>
  <c r="F273" i="4"/>
  <c r="G273" i="4"/>
  <c r="D274" i="4"/>
  <c r="E274" i="4"/>
  <c r="F274" i="4"/>
  <c r="G274" i="4"/>
  <c r="D275" i="4"/>
  <c r="E275" i="4"/>
  <c r="F275" i="4"/>
  <c r="G275" i="4"/>
  <c r="D276" i="4"/>
  <c r="E276" i="4"/>
  <c r="F276" i="4"/>
  <c r="G276" i="4"/>
  <c r="D277" i="4"/>
  <c r="E277" i="4"/>
  <c r="F277" i="4"/>
  <c r="G277" i="4"/>
  <c r="D278" i="4"/>
  <c r="E278" i="4"/>
  <c r="F278" i="4"/>
  <c r="G278" i="4"/>
  <c r="D279" i="4"/>
  <c r="E279" i="4"/>
  <c r="F279" i="4"/>
  <c r="G279" i="4"/>
  <c r="D280" i="4"/>
  <c r="E280" i="4"/>
  <c r="F280" i="4"/>
  <c r="G280" i="4"/>
  <c r="D281" i="4"/>
  <c r="E281" i="4"/>
  <c r="F281" i="4"/>
  <c r="G281" i="4"/>
  <c r="D282" i="4"/>
  <c r="E282" i="4"/>
  <c r="F282" i="4"/>
  <c r="G282" i="4"/>
  <c r="D283" i="4"/>
  <c r="E283" i="4"/>
  <c r="F283" i="4"/>
  <c r="G283" i="4"/>
  <c r="D284" i="4"/>
  <c r="E284" i="4"/>
  <c r="F284" i="4"/>
  <c r="G284" i="4"/>
  <c r="D285" i="4"/>
  <c r="E285" i="4"/>
  <c r="F285" i="4"/>
  <c r="G285" i="4"/>
  <c r="D286" i="4"/>
  <c r="E286" i="4"/>
  <c r="F286" i="4"/>
  <c r="G286" i="4"/>
  <c r="D287" i="4"/>
  <c r="E287" i="4"/>
  <c r="F287" i="4"/>
  <c r="G287" i="4"/>
  <c r="D288" i="4"/>
  <c r="E288" i="4"/>
  <c r="F288" i="4"/>
  <c r="G288" i="4"/>
  <c r="D289" i="4"/>
  <c r="E289" i="4"/>
  <c r="F289" i="4"/>
  <c r="G289" i="4"/>
  <c r="D290" i="4"/>
  <c r="E290" i="4"/>
  <c r="F290" i="4"/>
  <c r="G290" i="4"/>
  <c r="D291" i="4"/>
  <c r="E291" i="4"/>
  <c r="F291" i="4"/>
  <c r="G291" i="4"/>
  <c r="D292" i="4"/>
  <c r="E292" i="4"/>
  <c r="F292" i="4"/>
  <c r="G292" i="4"/>
  <c r="D293" i="4"/>
  <c r="E293" i="4"/>
  <c r="F293" i="4"/>
  <c r="G293" i="4"/>
  <c r="D294" i="4"/>
  <c r="E294" i="4"/>
  <c r="F294" i="4"/>
  <c r="G294" i="4"/>
  <c r="D295" i="4"/>
  <c r="E295" i="4"/>
  <c r="F295" i="4"/>
  <c r="G295" i="4"/>
  <c r="D296" i="4"/>
  <c r="E296" i="4"/>
  <c r="F296" i="4"/>
  <c r="G296" i="4"/>
  <c r="D297" i="4"/>
  <c r="E297" i="4"/>
  <c r="F297" i="4"/>
  <c r="G297" i="4"/>
  <c r="D298" i="4"/>
  <c r="E298" i="4"/>
  <c r="F298" i="4"/>
  <c r="G298" i="4"/>
  <c r="D299" i="4"/>
  <c r="E299" i="4"/>
  <c r="F299" i="4"/>
  <c r="G299" i="4"/>
  <c r="D300" i="4"/>
  <c r="E300" i="4"/>
  <c r="F300" i="4"/>
  <c r="G300" i="4"/>
  <c r="D301" i="4"/>
  <c r="E301" i="4"/>
  <c r="F301" i="4"/>
  <c r="G301" i="4"/>
  <c r="D302" i="4"/>
  <c r="E302" i="4"/>
  <c r="F302" i="4"/>
  <c r="G302" i="4"/>
  <c r="D303" i="4"/>
  <c r="E303" i="4"/>
  <c r="F303" i="4"/>
  <c r="G303" i="4"/>
  <c r="D304" i="4"/>
  <c r="E304" i="4"/>
  <c r="F304" i="4"/>
  <c r="G304" i="4"/>
  <c r="D305" i="4"/>
  <c r="E305" i="4"/>
  <c r="F305" i="4"/>
  <c r="G305" i="4"/>
  <c r="D306" i="4"/>
  <c r="E306" i="4"/>
  <c r="F306" i="4"/>
  <c r="G306" i="4"/>
  <c r="D307" i="4"/>
  <c r="E307" i="4"/>
  <c r="F307" i="4"/>
  <c r="G307" i="4"/>
  <c r="D308" i="4"/>
  <c r="E308" i="4"/>
  <c r="F308" i="4"/>
  <c r="G308" i="4"/>
  <c r="D309" i="4"/>
  <c r="E309" i="4"/>
  <c r="F309" i="4"/>
  <c r="G309" i="4"/>
  <c r="D310" i="4"/>
  <c r="E310" i="4"/>
  <c r="F310" i="4"/>
  <c r="G310" i="4"/>
  <c r="D311" i="4"/>
  <c r="E311" i="4"/>
  <c r="F311" i="4"/>
  <c r="G311" i="4"/>
  <c r="D312" i="4"/>
  <c r="E312" i="4"/>
  <c r="F312" i="4"/>
  <c r="G312" i="4"/>
  <c r="D313" i="4"/>
  <c r="E313" i="4"/>
  <c r="F313" i="4"/>
  <c r="G313" i="4"/>
  <c r="D314" i="4"/>
  <c r="E314" i="4"/>
  <c r="F314" i="4"/>
  <c r="G314" i="4"/>
  <c r="D315" i="4"/>
  <c r="E315" i="4"/>
  <c r="F315" i="4"/>
  <c r="G315" i="4"/>
  <c r="D316" i="4"/>
  <c r="E316" i="4"/>
  <c r="F316" i="4"/>
  <c r="G316" i="4"/>
  <c r="D317" i="4"/>
  <c r="E317" i="4"/>
  <c r="F317" i="4"/>
  <c r="G317" i="4"/>
  <c r="D318" i="4"/>
  <c r="E318" i="4"/>
  <c r="F318" i="4"/>
  <c r="G318" i="4"/>
  <c r="D319" i="4"/>
  <c r="E319" i="4"/>
  <c r="F319" i="4"/>
  <c r="G319" i="4"/>
  <c r="D320" i="4"/>
  <c r="E320" i="4"/>
  <c r="F320" i="4"/>
  <c r="G320" i="4"/>
  <c r="D321" i="4"/>
  <c r="E321" i="4"/>
  <c r="F321" i="4"/>
  <c r="G321" i="4"/>
  <c r="D322" i="4"/>
  <c r="E322" i="4"/>
  <c r="F322" i="4"/>
  <c r="G322" i="4"/>
  <c r="D323" i="4"/>
  <c r="E323" i="4"/>
  <c r="F323" i="4"/>
  <c r="G323" i="4"/>
  <c r="D324" i="4"/>
  <c r="E324" i="4"/>
  <c r="F324" i="4"/>
  <c r="G324" i="4"/>
  <c r="D325" i="4"/>
  <c r="E325" i="4"/>
  <c r="F325" i="4"/>
  <c r="G325" i="4"/>
  <c r="D326" i="4"/>
  <c r="E326" i="4"/>
  <c r="F326" i="4"/>
  <c r="G326" i="4"/>
  <c r="D327" i="4"/>
  <c r="E327" i="4"/>
  <c r="F327" i="4"/>
  <c r="G327" i="4"/>
  <c r="D328" i="4"/>
  <c r="E328" i="4"/>
  <c r="F328" i="4"/>
  <c r="G328" i="4"/>
  <c r="D329" i="4"/>
  <c r="E329" i="4"/>
  <c r="F329" i="4"/>
  <c r="G329" i="4"/>
  <c r="D330" i="4"/>
  <c r="E330" i="4"/>
  <c r="F330" i="4"/>
  <c r="G330" i="4"/>
  <c r="D331" i="4"/>
  <c r="E331" i="4"/>
  <c r="F331" i="4"/>
  <c r="G331" i="4"/>
  <c r="D332" i="4"/>
  <c r="E332" i="4"/>
  <c r="F332" i="4"/>
  <c r="G332" i="4"/>
  <c r="D333" i="4"/>
  <c r="E333" i="4"/>
  <c r="F333" i="4"/>
  <c r="G333" i="4"/>
  <c r="D334" i="4"/>
  <c r="E334" i="4"/>
  <c r="F334" i="4"/>
  <c r="G334" i="4"/>
  <c r="D335" i="4"/>
  <c r="E335" i="4"/>
  <c r="F335" i="4"/>
  <c r="G335" i="4"/>
  <c r="D336" i="4"/>
  <c r="E336" i="4"/>
  <c r="F336" i="4"/>
  <c r="G336" i="4"/>
  <c r="D337" i="4"/>
  <c r="E337" i="4"/>
  <c r="F337" i="4"/>
  <c r="G337" i="4"/>
  <c r="D338" i="4"/>
  <c r="E338" i="4"/>
  <c r="F338" i="4"/>
  <c r="G338" i="4"/>
  <c r="D339" i="4"/>
  <c r="E339" i="4"/>
  <c r="F339" i="4"/>
  <c r="G339" i="4"/>
  <c r="D340" i="4"/>
  <c r="E340" i="4"/>
  <c r="F340" i="4"/>
  <c r="G340" i="4"/>
  <c r="D341" i="4"/>
  <c r="E341" i="4"/>
  <c r="F341" i="4"/>
  <c r="G341" i="4"/>
  <c r="D342" i="4"/>
  <c r="E342" i="4"/>
  <c r="F342" i="4"/>
  <c r="G342" i="4"/>
  <c r="D343" i="4"/>
  <c r="E343" i="4"/>
  <c r="F343" i="4"/>
  <c r="G343" i="4"/>
  <c r="D344" i="4"/>
  <c r="E344" i="4"/>
  <c r="F344" i="4"/>
  <c r="G344" i="4"/>
  <c r="D345" i="4"/>
  <c r="E345" i="4"/>
  <c r="F345" i="4"/>
  <c r="G345" i="4"/>
  <c r="D346" i="4"/>
  <c r="E346" i="4"/>
  <c r="F346" i="4"/>
  <c r="G346" i="4"/>
  <c r="D347" i="4"/>
  <c r="E347" i="4"/>
  <c r="F347" i="4"/>
  <c r="G347" i="4"/>
  <c r="D348" i="4"/>
  <c r="E348" i="4"/>
  <c r="F348" i="4"/>
  <c r="G348" i="4"/>
  <c r="D349" i="4"/>
  <c r="E349" i="4"/>
  <c r="F349" i="4"/>
  <c r="G349" i="4"/>
  <c r="D350" i="4"/>
  <c r="E350" i="4"/>
  <c r="F350" i="4"/>
  <c r="G350" i="4"/>
  <c r="D351" i="4"/>
  <c r="E351" i="4"/>
  <c r="F351" i="4"/>
  <c r="G351" i="4"/>
  <c r="D352" i="4"/>
  <c r="E352" i="4"/>
  <c r="F352" i="4"/>
  <c r="G352" i="4"/>
  <c r="D353" i="4"/>
  <c r="E353" i="4"/>
  <c r="F353" i="4"/>
  <c r="G353" i="4"/>
  <c r="D354" i="4"/>
  <c r="E354" i="4"/>
  <c r="F354" i="4"/>
  <c r="G354" i="4"/>
  <c r="D355" i="4"/>
  <c r="E355" i="4"/>
  <c r="F355" i="4"/>
  <c r="G355" i="4"/>
  <c r="D356" i="4"/>
  <c r="E356" i="4"/>
  <c r="F356" i="4"/>
  <c r="G356" i="4"/>
  <c r="B357" i="4"/>
  <c r="D357" i="4"/>
  <c r="E357" i="4"/>
  <c r="F357" i="4"/>
  <c r="G357" i="4"/>
  <c r="D358" i="4"/>
  <c r="E358" i="4"/>
  <c r="F358" i="4"/>
  <c r="G358" i="4"/>
  <c r="D359" i="4"/>
  <c r="E359" i="4"/>
  <c r="F359" i="4"/>
  <c r="G359" i="4"/>
  <c r="D360" i="4"/>
  <c r="E360" i="4"/>
  <c r="F360" i="4"/>
  <c r="G360" i="4"/>
  <c r="D361" i="4"/>
  <c r="E361" i="4"/>
  <c r="F361" i="4"/>
  <c r="G361" i="4"/>
  <c r="D362" i="4"/>
  <c r="E362" i="4"/>
  <c r="F362" i="4"/>
  <c r="G362" i="4"/>
  <c r="D363" i="4"/>
  <c r="E363" i="4"/>
  <c r="F363" i="4"/>
  <c r="G363" i="4"/>
  <c r="D364" i="4"/>
  <c r="E364" i="4"/>
  <c r="F364" i="4"/>
  <c r="G364" i="4"/>
  <c r="D365" i="4"/>
  <c r="E365" i="4"/>
  <c r="F365" i="4"/>
  <c r="G365" i="4"/>
  <c r="D366" i="4"/>
  <c r="E366" i="4"/>
  <c r="F366" i="4"/>
  <c r="G366" i="4"/>
  <c r="D367" i="4"/>
  <c r="E367" i="4"/>
  <c r="F367" i="4"/>
  <c r="G367" i="4"/>
  <c r="D368" i="4"/>
  <c r="E368" i="4"/>
  <c r="F368" i="4"/>
  <c r="G368" i="4"/>
  <c r="D369" i="4"/>
  <c r="E369" i="4"/>
  <c r="F369" i="4"/>
  <c r="G369" i="4"/>
  <c r="D370" i="4"/>
  <c r="E370" i="4"/>
  <c r="F370" i="4"/>
  <c r="G370" i="4"/>
  <c r="D371" i="4"/>
  <c r="E371" i="4"/>
  <c r="F371" i="4"/>
  <c r="G371" i="4"/>
  <c r="D372" i="4"/>
  <c r="E372" i="4"/>
  <c r="F372" i="4"/>
  <c r="G372" i="4"/>
  <c r="D373" i="4"/>
  <c r="E373" i="4"/>
  <c r="F373" i="4"/>
  <c r="G373" i="4"/>
  <c r="D374" i="4"/>
  <c r="E374" i="4"/>
  <c r="F374" i="4"/>
  <c r="G374" i="4"/>
  <c r="D375" i="4"/>
  <c r="E375" i="4"/>
  <c r="F375" i="4"/>
  <c r="G375" i="4"/>
  <c r="D376" i="4"/>
  <c r="E376" i="4"/>
  <c r="F376" i="4"/>
  <c r="G376" i="4"/>
  <c r="D377" i="4"/>
  <c r="E377" i="4"/>
  <c r="F377" i="4"/>
  <c r="G377" i="4"/>
  <c r="D378" i="4"/>
  <c r="E378" i="4"/>
  <c r="F378" i="4"/>
  <c r="G378" i="4"/>
  <c r="D379" i="4"/>
  <c r="E379" i="4"/>
  <c r="F379" i="4"/>
  <c r="G379" i="4"/>
  <c r="D380" i="4"/>
  <c r="E380" i="4"/>
  <c r="F380" i="4"/>
  <c r="G380" i="4"/>
  <c r="D381" i="4"/>
  <c r="E381" i="4"/>
  <c r="F381" i="4"/>
  <c r="G381" i="4"/>
  <c r="D382" i="4"/>
  <c r="E382" i="4"/>
  <c r="F382" i="4"/>
  <c r="G382" i="4"/>
  <c r="D383" i="4"/>
  <c r="E383" i="4"/>
  <c r="F383" i="4"/>
  <c r="G383" i="4"/>
  <c r="D384" i="4"/>
  <c r="E384" i="4"/>
  <c r="F384" i="4"/>
  <c r="G384" i="4"/>
  <c r="D385" i="4"/>
  <c r="E385" i="4"/>
  <c r="F385" i="4"/>
  <c r="G385" i="4"/>
  <c r="D386" i="4"/>
  <c r="E386" i="4"/>
  <c r="F386" i="4"/>
  <c r="G386" i="4"/>
  <c r="D387" i="4"/>
  <c r="E387" i="4"/>
  <c r="F387" i="4"/>
  <c r="G387" i="4"/>
  <c r="D388" i="4"/>
  <c r="E388" i="4"/>
  <c r="F388" i="4"/>
  <c r="G388" i="4"/>
  <c r="D389" i="4"/>
  <c r="E389" i="4"/>
  <c r="F389" i="4"/>
  <c r="G389" i="4"/>
  <c r="D390" i="4"/>
  <c r="E390" i="4"/>
  <c r="F390" i="4"/>
  <c r="G390" i="4"/>
  <c r="D391" i="4"/>
  <c r="E391" i="4"/>
  <c r="F391" i="4"/>
  <c r="G391" i="4"/>
  <c r="D392" i="4"/>
  <c r="E392" i="4"/>
  <c r="F392" i="4"/>
  <c r="G392" i="4"/>
  <c r="D393" i="4"/>
  <c r="E393" i="4"/>
  <c r="F393" i="4"/>
  <c r="G393" i="4"/>
  <c r="D394" i="4"/>
  <c r="E394" i="4"/>
  <c r="F394" i="4"/>
  <c r="G394" i="4"/>
  <c r="D395" i="4"/>
  <c r="E395" i="4"/>
  <c r="F395" i="4"/>
  <c r="G395" i="4"/>
  <c r="D396" i="4"/>
  <c r="E396" i="4"/>
  <c r="F396" i="4"/>
  <c r="G396" i="4"/>
  <c r="D397" i="4"/>
  <c r="E397" i="4"/>
  <c r="F397" i="4"/>
  <c r="G397" i="4"/>
  <c r="D398" i="4"/>
  <c r="E398" i="4"/>
  <c r="F398" i="4"/>
  <c r="G398" i="4"/>
  <c r="D399" i="4"/>
  <c r="E399" i="4"/>
  <c r="F399" i="4"/>
  <c r="G399" i="4"/>
  <c r="D400" i="4"/>
  <c r="E400" i="4"/>
  <c r="F400" i="4"/>
  <c r="G400" i="4"/>
  <c r="D401" i="4"/>
  <c r="E401" i="4"/>
  <c r="F401" i="4"/>
  <c r="G401" i="4"/>
  <c r="D402" i="4"/>
  <c r="E402" i="4"/>
  <c r="F402" i="4"/>
  <c r="G402" i="4"/>
  <c r="D403" i="4"/>
  <c r="E403" i="4"/>
  <c r="F403" i="4"/>
  <c r="G403" i="4"/>
  <c r="D404" i="4"/>
  <c r="E404" i="4"/>
  <c r="F404" i="4"/>
  <c r="G404" i="4"/>
  <c r="D405" i="4"/>
  <c r="E405" i="4"/>
  <c r="F405" i="4"/>
  <c r="G405" i="4"/>
  <c r="D406" i="4"/>
  <c r="E406" i="4"/>
  <c r="F406" i="4"/>
  <c r="G406" i="4"/>
  <c r="D407" i="4"/>
  <c r="E407" i="4"/>
  <c r="F407" i="4"/>
  <c r="G407" i="4"/>
  <c r="D408" i="4"/>
  <c r="E408" i="4"/>
  <c r="F408" i="4"/>
  <c r="G408" i="4"/>
  <c r="D409" i="4"/>
  <c r="E409" i="4"/>
  <c r="F409" i="4"/>
  <c r="G409" i="4"/>
  <c r="D410" i="4"/>
  <c r="E410" i="4"/>
  <c r="F410" i="4"/>
  <c r="G410" i="4"/>
  <c r="D411" i="4"/>
  <c r="E411" i="4"/>
  <c r="F411" i="4"/>
  <c r="G411" i="4"/>
  <c r="D412" i="4"/>
  <c r="E412" i="4"/>
  <c r="F412" i="4"/>
  <c r="G412" i="4"/>
  <c r="D413" i="4"/>
  <c r="E413" i="4"/>
  <c r="F413" i="4"/>
  <c r="G413" i="4"/>
  <c r="D414" i="4"/>
  <c r="E414" i="4"/>
  <c r="F414" i="4"/>
  <c r="G414" i="4"/>
  <c r="D415" i="4"/>
  <c r="E415" i="4"/>
  <c r="F415" i="4"/>
  <c r="G415" i="4"/>
  <c r="D416" i="4"/>
  <c r="E416" i="4"/>
  <c r="F416" i="4"/>
  <c r="G416" i="4"/>
  <c r="D417" i="4"/>
  <c r="E417" i="4"/>
  <c r="F417" i="4"/>
  <c r="G417" i="4"/>
  <c r="D418" i="4"/>
  <c r="E418" i="4"/>
  <c r="F418" i="4"/>
  <c r="G418" i="4"/>
  <c r="D419" i="4"/>
  <c r="E419" i="4"/>
  <c r="F419" i="4"/>
  <c r="G419" i="4"/>
  <c r="D420" i="4"/>
  <c r="E420" i="4"/>
  <c r="F420" i="4"/>
  <c r="G420" i="4"/>
  <c r="D421" i="4"/>
  <c r="E421" i="4"/>
  <c r="F421" i="4"/>
  <c r="G421" i="4"/>
  <c r="D422" i="4"/>
  <c r="E422" i="4"/>
  <c r="F422" i="4"/>
  <c r="G422" i="4"/>
  <c r="B423" i="4"/>
  <c r="D423" i="4"/>
  <c r="E423" i="4"/>
  <c r="F423" i="4"/>
  <c r="G423" i="4"/>
  <c r="D424" i="4"/>
  <c r="E424" i="4"/>
  <c r="F424" i="4"/>
  <c r="G424" i="4"/>
  <c r="D425" i="4"/>
  <c r="E425" i="4"/>
  <c r="F425" i="4"/>
  <c r="G425" i="4"/>
  <c r="D426" i="4"/>
  <c r="E426" i="4"/>
  <c r="F426" i="4"/>
  <c r="G426" i="4"/>
  <c r="D427" i="4"/>
  <c r="E427" i="4"/>
  <c r="F427" i="4"/>
  <c r="G427" i="4"/>
  <c r="D428" i="4"/>
  <c r="E428" i="4"/>
  <c r="F428" i="4"/>
  <c r="G428" i="4"/>
  <c r="D429" i="4"/>
  <c r="E429" i="4"/>
  <c r="F429" i="4"/>
  <c r="G429" i="4"/>
  <c r="D430" i="4"/>
  <c r="E430" i="4"/>
  <c r="F430" i="4"/>
  <c r="G430" i="4"/>
  <c r="D431" i="4"/>
  <c r="E431" i="4"/>
  <c r="F431" i="4"/>
  <c r="G431" i="4"/>
  <c r="D432" i="4"/>
  <c r="E432" i="4"/>
  <c r="F432" i="4"/>
  <c r="G432" i="4"/>
  <c r="D433" i="4"/>
  <c r="E433" i="4"/>
  <c r="F433" i="4"/>
  <c r="G433" i="4"/>
  <c r="D434" i="4"/>
  <c r="E434" i="4"/>
  <c r="F434" i="4"/>
  <c r="G434" i="4"/>
  <c r="D435" i="4"/>
  <c r="E435" i="4"/>
  <c r="F435" i="4"/>
  <c r="G435" i="4"/>
  <c r="D436" i="4"/>
  <c r="E436" i="4"/>
  <c r="F436" i="4"/>
  <c r="G436" i="4"/>
  <c r="D437" i="4"/>
  <c r="E437" i="4"/>
  <c r="F437" i="4"/>
  <c r="G437" i="4"/>
  <c r="D438" i="4"/>
  <c r="E438" i="4"/>
  <c r="F438" i="4"/>
  <c r="G438" i="4"/>
  <c r="D439" i="4"/>
  <c r="E439" i="4"/>
  <c r="F439" i="4"/>
  <c r="G439" i="4"/>
  <c r="D440" i="4"/>
  <c r="E440" i="4"/>
  <c r="F440" i="4"/>
  <c r="G440" i="4"/>
  <c r="D441" i="4"/>
  <c r="E441" i="4"/>
  <c r="F441" i="4"/>
  <c r="G441" i="4"/>
  <c r="D442" i="4"/>
  <c r="E442" i="4"/>
  <c r="F442" i="4"/>
  <c r="G442" i="4"/>
  <c r="D443" i="4"/>
  <c r="E443" i="4"/>
  <c r="F443" i="4"/>
  <c r="G443" i="4"/>
  <c r="D444" i="4"/>
  <c r="E444" i="4"/>
  <c r="F444" i="4"/>
  <c r="G444" i="4"/>
  <c r="D445" i="4"/>
  <c r="E445" i="4"/>
  <c r="F445" i="4"/>
  <c r="G445" i="4"/>
  <c r="D446" i="4"/>
  <c r="E446" i="4"/>
  <c r="F446" i="4"/>
  <c r="G446" i="4"/>
  <c r="D447" i="4"/>
  <c r="E447" i="4"/>
  <c r="F447" i="4"/>
  <c r="G447" i="4"/>
  <c r="D448" i="4"/>
  <c r="E448" i="4"/>
  <c r="F448" i="4"/>
  <c r="G448" i="4"/>
  <c r="D449" i="4"/>
  <c r="E449" i="4"/>
  <c r="F449" i="4"/>
  <c r="G449" i="4"/>
  <c r="D450" i="4"/>
  <c r="E450" i="4"/>
  <c r="F450" i="4"/>
  <c r="G450" i="4"/>
  <c r="D451" i="4"/>
  <c r="E451" i="4"/>
  <c r="F451" i="4"/>
  <c r="G451" i="4"/>
  <c r="D452" i="4"/>
  <c r="E452" i="4"/>
  <c r="F452" i="4"/>
  <c r="G452" i="4"/>
  <c r="D453" i="4"/>
  <c r="E453" i="4"/>
  <c r="F453" i="4"/>
  <c r="G453" i="4"/>
  <c r="D454" i="4"/>
  <c r="E454" i="4"/>
  <c r="F454" i="4"/>
  <c r="G454" i="4"/>
  <c r="D455" i="4"/>
  <c r="E455" i="4"/>
  <c r="F455" i="4"/>
  <c r="G455" i="4"/>
  <c r="D456" i="4"/>
  <c r="E456" i="4"/>
  <c r="F456" i="4"/>
  <c r="G456" i="4"/>
  <c r="D457" i="4"/>
  <c r="E457" i="4"/>
  <c r="F457" i="4"/>
  <c r="G457" i="4"/>
  <c r="D458" i="4"/>
  <c r="E458" i="4"/>
  <c r="F458" i="4"/>
  <c r="G458" i="4"/>
  <c r="D459" i="4"/>
  <c r="E459" i="4"/>
  <c r="F459" i="4"/>
  <c r="G459" i="4"/>
  <c r="D460" i="4"/>
  <c r="E460" i="4"/>
  <c r="F460" i="4"/>
  <c r="G460" i="4"/>
  <c r="D461" i="4"/>
  <c r="E461" i="4"/>
  <c r="F461" i="4"/>
  <c r="G461" i="4"/>
  <c r="D462" i="4"/>
  <c r="E462" i="4"/>
  <c r="F462" i="4"/>
  <c r="G462" i="4"/>
  <c r="D463" i="4"/>
  <c r="E463" i="4"/>
  <c r="F463" i="4"/>
  <c r="G463" i="4"/>
  <c r="D464" i="4"/>
  <c r="E464" i="4"/>
  <c r="F464" i="4"/>
  <c r="G464" i="4"/>
  <c r="D465" i="4"/>
  <c r="E465" i="4"/>
  <c r="F465" i="4"/>
  <c r="G465" i="4"/>
  <c r="D466" i="4"/>
  <c r="E466" i="4"/>
  <c r="F466" i="4"/>
  <c r="G466" i="4"/>
  <c r="D467" i="4"/>
  <c r="E467" i="4"/>
  <c r="F467" i="4"/>
  <c r="G467" i="4"/>
  <c r="D468" i="4"/>
  <c r="E468" i="4"/>
  <c r="F468" i="4"/>
  <c r="G468" i="4"/>
  <c r="D469" i="4"/>
  <c r="E469" i="4"/>
  <c r="F469" i="4"/>
  <c r="G469" i="4"/>
  <c r="D470" i="4"/>
  <c r="E470" i="4"/>
  <c r="F470" i="4"/>
  <c r="G470" i="4"/>
  <c r="D471" i="4"/>
  <c r="E471" i="4"/>
  <c r="F471" i="4"/>
  <c r="G471" i="4"/>
  <c r="D472" i="4"/>
  <c r="E472" i="4"/>
  <c r="F472" i="4"/>
  <c r="G472" i="4"/>
  <c r="D473" i="4"/>
  <c r="E473" i="4"/>
  <c r="F473" i="4"/>
  <c r="G473" i="4"/>
  <c r="D474" i="4"/>
  <c r="E474" i="4"/>
  <c r="F474" i="4"/>
  <c r="G474" i="4"/>
  <c r="D475" i="4"/>
  <c r="E475" i="4"/>
  <c r="F475" i="4"/>
  <c r="G475" i="4"/>
  <c r="D476" i="4"/>
  <c r="E476" i="4"/>
  <c r="F476" i="4"/>
  <c r="G476" i="4"/>
  <c r="D477" i="4"/>
  <c r="E477" i="4"/>
  <c r="F477" i="4"/>
  <c r="G477" i="4"/>
  <c r="D478" i="4"/>
  <c r="E478" i="4"/>
  <c r="F478" i="4"/>
  <c r="G478" i="4"/>
  <c r="D479" i="4"/>
  <c r="E479" i="4"/>
  <c r="F479" i="4"/>
  <c r="G479" i="4"/>
  <c r="D480" i="4"/>
  <c r="E480" i="4"/>
  <c r="F480" i="4"/>
  <c r="G480" i="4"/>
  <c r="D481" i="4"/>
  <c r="E481" i="4"/>
  <c r="F481" i="4"/>
  <c r="G481" i="4"/>
  <c r="D482" i="4"/>
  <c r="E482" i="4"/>
  <c r="F482" i="4"/>
  <c r="G482" i="4"/>
  <c r="D483" i="4"/>
  <c r="E483" i="4"/>
  <c r="F483" i="4"/>
  <c r="G483" i="4"/>
  <c r="D484" i="4"/>
  <c r="E484" i="4"/>
  <c r="F484" i="4"/>
  <c r="G484" i="4"/>
  <c r="D485" i="4"/>
  <c r="E485" i="4"/>
  <c r="F485" i="4"/>
  <c r="G485" i="4"/>
  <c r="D486" i="4"/>
  <c r="E486" i="4"/>
  <c r="F486" i="4"/>
  <c r="G486" i="4"/>
  <c r="B487" i="4"/>
  <c r="D487" i="4"/>
  <c r="E487" i="4"/>
  <c r="F487" i="4"/>
  <c r="G487" i="4"/>
  <c r="D488" i="4"/>
  <c r="E488" i="4"/>
  <c r="F488" i="4"/>
  <c r="G488" i="4"/>
  <c r="D489" i="4"/>
  <c r="E489" i="4"/>
  <c r="F489" i="4"/>
  <c r="G489" i="4"/>
  <c r="D490" i="4"/>
  <c r="E490" i="4"/>
  <c r="F490" i="4"/>
  <c r="G490" i="4"/>
  <c r="D491" i="4"/>
  <c r="E491" i="4"/>
  <c r="F491" i="4"/>
  <c r="G491" i="4"/>
  <c r="D492" i="4"/>
  <c r="E492" i="4"/>
  <c r="F492" i="4"/>
  <c r="G492" i="4"/>
  <c r="D493" i="4"/>
  <c r="E493" i="4"/>
  <c r="F493" i="4"/>
  <c r="G493" i="4"/>
  <c r="D494" i="4"/>
  <c r="E494" i="4"/>
  <c r="F494" i="4"/>
  <c r="G494" i="4"/>
  <c r="D495" i="4"/>
  <c r="E495" i="4"/>
  <c r="F495" i="4"/>
  <c r="G495" i="4"/>
  <c r="D496" i="4"/>
  <c r="E496" i="4"/>
  <c r="F496" i="4"/>
  <c r="G496" i="4"/>
  <c r="D497" i="4"/>
  <c r="E497" i="4"/>
  <c r="F497" i="4"/>
  <c r="G497" i="4"/>
  <c r="D498" i="4"/>
  <c r="E498" i="4"/>
  <c r="F498" i="4"/>
  <c r="G498" i="4"/>
  <c r="D499" i="4"/>
  <c r="E499" i="4"/>
  <c r="F499" i="4"/>
  <c r="G499" i="4"/>
  <c r="D500" i="4"/>
  <c r="E500" i="4"/>
  <c r="F500" i="4"/>
  <c r="G500" i="4"/>
  <c r="D501" i="4"/>
  <c r="E501" i="4"/>
  <c r="F501" i="4"/>
  <c r="G501" i="4"/>
  <c r="D502" i="4"/>
  <c r="E502" i="4"/>
  <c r="F502" i="4"/>
  <c r="G502" i="4"/>
  <c r="D503" i="4"/>
  <c r="E503" i="4"/>
  <c r="F503" i="4"/>
  <c r="G503" i="4"/>
  <c r="D504" i="4"/>
  <c r="E504" i="4"/>
  <c r="F504" i="4"/>
  <c r="G504" i="4"/>
  <c r="D505" i="4"/>
  <c r="E505" i="4"/>
  <c r="F505" i="4"/>
  <c r="G505" i="4"/>
  <c r="D506" i="4"/>
  <c r="E506" i="4"/>
  <c r="F506" i="4"/>
  <c r="G506" i="4"/>
  <c r="D507" i="4"/>
  <c r="E507" i="4"/>
  <c r="F507" i="4"/>
  <c r="G507" i="4"/>
  <c r="D508" i="4"/>
  <c r="E508" i="4"/>
  <c r="F508" i="4"/>
  <c r="G508" i="4"/>
  <c r="D509" i="4"/>
  <c r="E509" i="4"/>
  <c r="F509" i="4"/>
  <c r="G509" i="4"/>
  <c r="D510" i="4"/>
  <c r="E510" i="4"/>
  <c r="F510" i="4"/>
  <c r="G510" i="4"/>
  <c r="D511" i="4"/>
  <c r="E511" i="4"/>
  <c r="F511" i="4"/>
  <c r="G511" i="4"/>
  <c r="D512" i="4"/>
  <c r="E512" i="4"/>
  <c r="F512" i="4"/>
  <c r="G512" i="4"/>
  <c r="D513" i="4"/>
  <c r="E513" i="4"/>
  <c r="F513" i="4"/>
  <c r="G513" i="4"/>
  <c r="D514" i="4"/>
  <c r="E514" i="4"/>
  <c r="F514" i="4"/>
  <c r="G514" i="4"/>
  <c r="D515" i="4"/>
  <c r="E515" i="4"/>
  <c r="F515" i="4"/>
  <c r="G515" i="4"/>
  <c r="D516" i="4"/>
  <c r="E516" i="4"/>
  <c r="F516" i="4"/>
  <c r="G516" i="4"/>
  <c r="D517" i="4"/>
  <c r="E517" i="4"/>
  <c r="F517" i="4"/>
  <c r="G517" i="4"/>
  <c r="D518" i="4"/>
  <c r="E518" i="4"/>
  <c r="F518" i="4"/>
  <c r="G518" i="4"/>
  <c r="D519" i="4"/>
  <c r="E519" i="4"/>
  <c r="F519" i="4"/>
  <c r="G519" i="4"/>
  <c r="D520" i="4"/>
  <c r="E520" i="4"/>
  <c r="F520" i="4"/>
  <c r="G520" i="4"/>
  <c r="D521" i="4"/>
  <c r="E521" i="4"/>
  <c r="F521" i="4"/>
  <c r="G521" i="4"/>
  <c r="D522" i="4"/>
  <c r="E522" i="4"/>
  <c r="F522" i="4"/>
  <c r="G522" i="4"/>
  <c r="D523" i="4"/>
  <c r="E523" i="4"/>
  <c r="F523" i="4"/>
  <c r="G523" i="4"/>
  <c r="D524" i="4"/>
  <c r="E524" i="4"/>
  <c r="F524" i="4"/>
  <c r="G524" i="4"/>
  <c r="D525" i="4"/>
  <c r="E525" i="4"/>
  <c r="F525" i="4"/>
  <c r="G525" i="4"/>
  <c r="D526" i="4"/>
  <c r="E526" i="4"/>
  <c r="F526" i="4"/>
  <c r="G526" i="4"/>
  <c r="D527" i="4"/>
  <c r="E527" i="4"/>
  <c r="F527" i="4"/>
  <c r="G527" i="4"/>
  <c r="D528" i="4"/>
  <c r="E528" i="4"/>
  <c r="F528" i="4"/>
  <c r="G528" i="4"/>
  <c r="D529" i="4"/>
  <c r="E529" i="4"/>
  <c r="F529" i="4"/>
  <c r="G529" i="4"/>
  <c r="D530" i="4"/>
  <c r="E530" i="4"/>
  <c r="F530" i="4"/>
  <c r="G530" i="4"/>
  <c r="D531" i="4"/>
  <c r="E531" i="4"/>
  <c r="F531" i="4"/>
  <c r="G531" i="4"/>
  <c r="D532" i="4"/>
  <c r="E532" i="4"/>
  <c r="F532" i="4"/>
  <c r="G532" i="4"/>
  <c r="D533" i="4"/>
  <c r="E533" i="4"/>
  <c r="F533" i="4"/>
  <c r="G533" i="4"/>
  <c r="D534" i="4"/>
  <c r="E534" i="4"/>
  <c r="F534" i="4"/>
  <c r="G534" i="4"/>
  <c r="D535" i="4"/>
  <c r="E535" i="4"/>
  <c r="F535" i="4"/>
  <c r="G535" i="4"/>
  <c r="D536" i="4"/>
  <c r="E536" i="4"/>
  <c r="F536" i="4"/>
  <c r="G536" i="4"/>
  <c r="D537" i="4"/>
  <c r="E537" i="4"/>
  <c r="F537" i="4"/>
  <c r="G537" i="4"/>
  <c r="D538" i="4"/>
  <c r="E538" i="4"/>
  <c r="F538" i="4"/>
  <c r="G538" i="4"/>
  <c r="D539" i="4"/>
  <c r="E539" i="4"/>
  <c r="F539" i="4"/>
  <c r="G539" i="4"/>
  <c r="D540" i="4"/>
  <c r="E540" i="4"/>
  <c r="F540" i="4"/>
  <c r="G540" i="4"/>
  <c r="D541" i="4"/>
  <c r="E541" i="4"/>
  <c r="F541" i="4"/>
  <c r="G541" i="4"/>
  <c r="D542" i="4"/>
  <c r="E542" i="4"/>
  <c r="F542" i="4"/>
  <c r="G542" i="4"/>
  <c r="D543" i="4"/>
  <c r="E543" i="4"/>
  <c r="F543" i="4"/>
  <c r="G543" i="4"/>
  <c r="D544" i="4"/>
  <c r="E544" i="4"/>
  <c r="F544" i="4"/>
  <c r="G544" i="4"/>
  <c r="D545" i="4"/>
  <c r="E545" i="4"/>
  <c r="F545" i="4"/>
  <c r="G545" i="4"/>
  <c r="D546" i="4"/>
  <c r="E546" i="4"/>
  <c r="F546" i="4"/>
  <c r="G546" i="4"/>
  <c r="D547" i="4"/>
  <c r="E547" i="4"/>
  <c r="F547" i="4"/>
  <c r="G547" i="4"/>
  <c r="D548" i="4"/>
  <c r="E548" i="4"/>
  <c r="F548" i="4"/>
  <c r="G548" i="4"/>
  <c r="D549" i="4"/>
  <c r="E549" i="4"/>
  <c r="F549" i="4"/>
  <c r="G549" i="4"/>
  <c r="D550" i="4"/>
  <c r="E550" i="4"/>
  <c r="F550" i="4"/>
  <c r="G550" i="4"/>
  <c r="B551" i="4"/>
  <c r="D551" i="4"/>
  <c r="E551" i="4"/>
  <c r="F551" i="4"/>
  <c r="G551" i="4"/>
  <c r="D552" i="4"/>
  <c r="E552" i="4"/>
  <c r="F552" i="4"/>
  <c r="G552" i="4"/>
  <c r="D553" i="4"/>
  <c r="E553" i="4"/>
  <c r="F553" i="4"/>
  <c r="G553" i="4"/>
  <c r="D554" i="4"/>
  <c r="E554" i="4"/>
  <c r="F554" i="4"/>
  <c r="G554" i="4"/>
  <c r="D555" i="4"/>
  <c r="E555" i="4"/>
  <c r="F555" i="4"/>
  <c r="G555" i="4"/>
  <c r="D556" i="4"/>
  <c r="E556" i="4"/>
  <c r="F556" i="4"/>
  <c r="G556" i="4"/>
  <c r="D557" i="4"/>
  <c r="E557" i="4"/>
  <c r="F557" i="4"/>
  <c r="G557" i="4"/>
  <c r="D558" i="4"/>
  <c r="E558" i="4"/>
  <c r="F558" i="4"/>
  <c r="G558" i="4"/>
  <c r="D559" i="4"/>
  <c r="E559" i="4"/>
  <c r="F559" i="4"/>
  <c r="G559" i="4"/>
  <c r="D560" i="4"/>
  <c r="E560" i="4"/>
  <c r="F560" i="4"/>
  <c r="G560" i="4"/>
  <c r="D561" i="4"/>
  <c r="E561" i="4"/>
  <c r="F561" i="4"/>
  <c r="G561" i="4"/>
  <c r="D562" i="4"/>
  <c r="E562" i="4"/>
  <c r="F562" i="4"/>
  <c r="G562" i="4"/>
  <c r="D563" i="4"/>
  <c r="E563" i="4"/>
  <c r="F563" i="4"/>
  <c r="G563" i="4"/>
  <c r="D564" i="4"/>
  <c r="E564" i="4"/>
  <c r="F564" i="4"/>
  <c r="G564" i="4"/>
  <c r="D565" i="4"/>
  <c r="E565" i="4"/>
  <c r="F565" i="4"/>
  <c r="G565" i="4"/>
  <c r="D566" i="4"/>
  <c r="E566" i="4"/>
  <c r="F566" i="4"/>
  <c r="G566" i="4"/>
  <c r="D567" i="4"/>
  <c r="E567" i="4"/>
  <c r="F567" i="4"/>
  <c r="G567" i="4"/>
  <c r="D568" i="4"/>
  <c r="E568" i="4"/>
  <c r="F568" i="4"/>
  <c r="G568" i="4"/>
  <c r="D569" i="4"/>
  <c r="E569" i="4"/>
  <c r="F569" i="4"/>
  <c r="G569" i="4"/>
  <c r="D570" i="4"/>
  <c r="E570" i="4"/>
  <c r="F570" i="4"/>
  <c r="G570" i="4"/>
  <c r="D571" i="4"/>
  <c r="E571" i="4"/>
  <c r="F571" i="4"/>
  <c r="G571" i="4"/>
  <c r="D572" i="4"/>
  <c r="E572" i="4"/>
  <c r="F572" i="4"/>
  <c r="G572" i="4"/>
  <c r="D573" i="4"/>
  <c r="E573" i="4"/>
  <c r="F573" i="4"/>
  <c r="G573" i="4"/>
  <c r="D574" i="4"/>
  <c r="E574" i="4"/>
  <c r="F574" i="4"/>
  <c r="G574" i="4"/>
  <c r="D575" i="4"/>
  <c r="E575" i="4"/>
  <c r="F575" i="4"/>
  <c r="G575" i="4"/>
  <c r="D576" i="4"/>
  <c r="E576" i="4"/>
  <c r="F576" i="4"/>
  <c r="G576" i="4"/>
  <c r="D577" i="4"/>
  <c r="E577" i="4"/>
  <c r="F577" i="4"/>
  <c r="G577" i="4"/>
  <c r="D578" i="4"/>
  <c r="E578" i="4"/>
  <c r="F578" i="4"/>
  <c r="G578" i="4"/>
  <c r="D579" i="4"/>
  <c r="E579" i="4"/>
  <c r="F579" i="4"/>
  <c r="G579" i="4"/>
  <c r="D580" i="4"/>
  <c r="E580" i="4"/>
  <c r="F580" i="4"/>
  <c r="G580" i="4"/>
  <c r="B581" i="4"/>
  <c r="D581" i="4"/>
  <c r="E581" i="4"/>
  <c r="F581" i="4"/>
  <c r="G581" i="4"/>
  <c r="D582" i="4"/>
  <c r="E582" i="4"/>
  <c r="F582" i="4"/>
  <c r="G582" i="4"/>
  <c r="D583" i="4"/>
  <c r="E583" i="4"/>
  <c r="F583" i="4"/>
  <c r="G583" i="4"/>
  <c r="D584" i="4"/>
  <c r="E584" i="4"/>
  <c r="F584" i="4"/>
  <c r="G584" i="4"/>
  <c r="D585" i="4"/>
  <c r="E585" i="4"/>
  <c r="F585" i="4"/>
  <c r="G585" i="4"/>
  <c r="D586" i="4"/>
  <c r="E586" i="4"/>
  <c r="F586" i="4"/>
  <c r="G586" i="4"/>
  <c r="D587" i="4"/>
  <c r="E587" i="4"/>
  <c r="F587" i="4"/>
  <c r="G587" i="4"/>
  <c r="D588" i="4"/>
  <c r="E588" i="4"/>
  <c r="F588" i="4"/>
  <c r="G588" i="4"/>
  <c r="D589" i="4"/>
  <c r="E589" i="4"/>
  <c r="F589" i="4"/>
  <c r="G589" i="4"/>
  <c r="D590" i="4"/>
  <c r="E590" i="4"/>
  <c r="F590" i="4"/>
  <c r="G590" i="4"/>
  <c r="D591" i="4"/>
  <c r="E591" i="4"/>
  <c r="F591" i="4"/>
  <c r="G591" i="4"/>
  <c r="D592" i="4"/>
  <c r="E592" i="4"/>
  <c r="F592" i="4"/>
  <c r="G592" i="4"/>
  <c r="D593" i="4"/>
  <c r="E593" i="4"/>
  <c r="F593" i="4"/>
  <c r="G593" i="4"/>
  <c r="D594" i="4"/>
  <c r="E594" i="4"/>
  <c r="F594" i="4"/>
  <c r="G594" i="4"/>
  <c r="D595" i="4"/>
  <c r="E595" i="4"/>
  <c r="F595" i="4"/>
  <c r="G595" i="4"/>
  <c r="D596" i="4"/>
  <c r="E596" i="4"/>
  <c r="F596" i="4"/>
  <c r="G596" i="4"/>
  <c r="D597" i="4"/>
  <c r="E597" i="4"/>
  <c r="F597" i="4"/>
  <c r="G597" i="4"/>
  <c r="D598" i="4"/>
  <c r="E598" i="4"/>
  <c r="F598" i="4"/>
  <c r="G598" i="4"/>
  <c r="D599" i="4"/>
  <c r="E599" i="4"/>
  <c r="F599" i="4"/>
  <c r="G599" i="4"/>
  <c r="D600" i="4"/>
  <c r="E600" i="4"/>
  <c r="F600" i="4"/>
  <c r="G600" i="4"/>
  <c r="D601" i="4"/>
  <c r="E601" i="4"/>
  <c r="F601" i="4"/>
  <c r="G601" i="4"/>
  <c r="D602" i="4"/>
  <c r="E602" i="4"/>
  <c r="F602" i="4"/>
  <c r="G602" i="4"/>
  <c r="D603" i="4"/>
  <c r="E603" i="4"/>
  <c r="F603" i="4"/>
  <c r="G603" i="4"/>
  <c r="D604" i="4"/>
  <c r="E604" i="4"/>
  <c r="F604" i="4"/>
  <c r="G604" i="4"/>
  <c r="D605" i="4"/>
  <c r="E605" i="4"/>
  <c r="F605" i="4"/>
  <c r="G605" i="4"/>
  <c r="D606" i="4"/>
  <c r="E606" i="4"/>
  <c r="F606" i="4"/>
  <c r="G606" i="4"/>
  <c r="D607" i="4"/>
  <c r="E607" i="4"/>
  <c r="F607" i="4"/>
  <c r="G607" i="4"/>
  <c r="D608" i="4"/>
  <c r="E608" i="4"/>
  <c r="F608" i="4"/>
  <c r="G608" i="4"/>
  <c r="D609" i="4"/>
  <c r="E609" i="4"/>
  <c r="F609" i="4"/>
  <c r="G609" i="4"/>
  <c r="D610" i="4"/>
  <c r="E610" i="4"/>
  <c r="F610" i="4"/>
  <c r="G610" i="4"/>
  <c r="D611" i="4"/>
  <c r="E611" i="4"/>
  <c r="F611" i="4"/>
  <c r="G611" i="4"/>
  <c r="D612" i="4"/>
  <c r="E612" i="4"/>
  <c r="F612" i="4"/>
  <c r="G612" i="4"/>
  <c r="D613" i="4"/>
  <c r="E613" i="4"/>
  <c r="F613" i="4"/>
  <c r="G613" i="4"/>
  <c r="D614" i="4"/>
  <c r="E614" i="4"/>
  <c r="F614" i="4"/>
  <c r="G614" i="4"/>
  <c r="D615" i="4"/>
  <c r="E615" i="4"/>
  <c r="F615" i="4"/>
  <c r="G615" i="4"/>
  <c r="D616" i="4"/>
  <c r="E616" i="4"/>
  <c r="F616" i="4"/>
  <c r="G616" i="4"/>
  <c r="D617" i="4"/>
  <c r="E617" i="4"/>
  <c r="F617" i="4"/>
  <c r="G617" i="4"/>
  <c r="D618" i="4"/>
  <c r="E618" i="4"/>
  <c r="F618" i="4"/>
  <c r="G618" i="4"/>
  <c r="D619" i="4"/>
  <c r="E619" i="4"/>
  <c r="F619" i="4"/>
  <c r="G619" i="4"/>
  <c r="D620" i="4"/>
  <c r="E620" i="4"/>
  <c r="F620" i="4"/>
  <c r="G620" i="4"/>
  <c r="D621" i="4"/>
  <c r="E621" i="4"/>
  <c r="F621" i="4"/>
  <c r="G621" i="4"/>
  <c r="D622" i="4"/>
  <c r="E622" i="4"/>
  <c r="F622" i="4"/>
  <c r="G622" i="4"/>
  <c r="B623" i="4"/>
  <c r="D623" i="4"/>
  <c r="E623" i="4"/>
  <c r="F623" i="4"/>
  <c r="G623" i="4"/>
  <c r="D624" i="4"/>
  <c r="E624" i="4"/>
  <c r="F624" i="4"/>
  <c r="G624" i="4"/>
  <c r="D625" i="4"/>
  <c r="E625" i="4"/>
  <c r="F625" i="4"/>
  <c r="G625" i="4"/>
  <c r="D626" i="4"/>
  <c r="E626" i="4"/>
  <c r="F626" i="4"/>
  <c r="G626" i="4"/>
  <c r="D627" i="4"/>
  <c r="E627" i="4"/>
  <c r="F627" i="4"/>
  <c r="G627" i="4"/>
  <c r="D628" i="4"/>
  <c r="E628" i="4"/>
  <c r="F628" i="4"/>
  <c r="G628" i="4"/>
  <c r="D629" i="4"/>
  <c r="E629" i="4"/>
  <c r="F629" i="4"/>
  <c r="G629" i="4"/>
  <c r="D630" i="4"/>
  <c r="E630" i="4"/>
  <c r="F630" i="4"/>
  <c r="G630" i="4"/>
  <c r="D631" i="4"/>
  <c r="E631" i="4"/>
  <c r="F631" i="4"/>
  <c r="G631" i="4"/>
  <c r="D632" i="4"/>
  <c r="E632" i="4"/>
  <c r="F632" i="4"/>
  <c r="G632" i="4"/>
  <c r="D633" i="4"/>
  <c r="E633" i="4"/>
  <c r="F633" i="4"/>
  <c r="G633" i="4"/>
  <c r="D634" i="4"/>
  <c r="E634" i="4"/>
  <c r="F634" i="4"/>
  <c r="G634" i="4"/>
  <c r="D635" i="4"/>
  <c r="E635" i="4"/>
  <c r="F635" i="4"/>
  <c r="G635" i="4"/>
  <c r="D636" i="4"/>
  <c r="E636" i="4"/>
  <c r="F636" i="4"/>
  <c r="G636" i="4"/>
  <c r="D637" i="4"/>
  <c r="E637" i="4"/>
  <c r="F637" i="4"/>
  <c r="G637" i="4"/>
  <c r="D638" i="4"/>
  <c r="E638" i="4"/>
  <c r="F638" i="4"/>
  <c r="G638" i="4"/>
  <c r="D639" i="4"/>
  <c r="E639" i="4"/>
  <c r="F639" i="4"/>
  <c r="G639" i="4"/>
  <c r="D640" i="4"/>
  <c r="E640" i="4"/>
  <c r="F640" i="4"/>
  <c r="G640" i="4"/>
  <c r="D641" i="4"/>
  <c r="E641" i="4"/>
  <c r="F641" i="4"/>
  <c r="G641" i="4"/>
  <c r="D642" i="4"/>
  <c r="E642" i="4"/>
  <c r="F642" i="4"/>
  <c r="G642" i="4"/>
  <c r="D643" i="4"/>
  <c r="E643" i="4"/>
  <c r="F643" i="4"/>
  <c r="G643" i="4"/>
  <c r="D644" i="4"/>
  <c r="E644" i="4"/>
  <c r="F644" i="4"/>
  <c r="G644" i="4"/>
  <c r="B645" i="4"/>
  <c r="D645" i="4"/>
  <c r="E645" i="4"/>
  <c r="F645" i="4"/>
  <c r="G645" i="4"/>
  <c r="D646" i="4"/>
  <c r="E646" i="4"/>
  <c r="F646" i="4"/>
  <c r="G646" i="4"/>
  <c r="D647" i="4"/>
  <c r="E647" i="4"/>
  <c r="F647" i="4"/>
  <c r="G647" i="4"/>
  <c r="D648" i="4"/>
  <c r="E648" i="4"/>
  <c r="F648" i="4"/>
  <c r="G648" i="4"/>
  <c r="D649" i="4"/>
  <c r="E649" i="4"/>
  <c r="F649" i="4"/>
  <c r="G649" i="4"/>
  <c r="D650" i="4"/>
  <c r="E650" i="4"/>
  <c r="F650" i="4"/>
  <c r="G650" i="4"/>
  <c r="D651" i="4"/>
  <c r="E651" i="4"/>
  <c r="F651" i="4"/>
  <c r="G651" i="4"/>
  <c r="D652" i="4"/>
  <c r="E652" i="4"/>
  <c r="F652" i="4"/>
  <c r="G652" i="4"/>
  <c r="D653" i="4"/>
  <c r="E653" i="4"/>
  <c r="F653" i="4"/>
  <c r="G653" i="4"/>
  <c r="D654" i="4"/>
  <c r="E654" i="4"/>
  <c r="F654" i="4"/>
  <c r="G654" i="4"/>
  <c r="D655" i="4"/>
  <c r="E655" i="4"/>
  <c r="F655" i="4"/>
  <c r="G655" i="4"/>
  <c r="D656" i="4"/>
  <c r="E656" i="4"/>
  <c r="F656" i="4"/>
  <c r="G656" i="4"/>
  <c r="D657" i="4"/>
  <c r="E657" i="4"/>
  <c r="F657" i="4"/>
  <c r="G657" i="4"/>
  <c r="D658" i="4"/>
  <c r="E658" i="4"/>
  <c r="F658" i="4"/>
  <c r="G658" i="4"/>
  <c r="D659" i="4"/>
  <c r="E659" i="4"/>
  <c r="F659" i="4"/>
  <c r="G659" i="4"/>
  <c r="D660" i="4"/>
  <c r="E660" i="4"/>
  <c r="F660" i="4"/>
  <c r="G660" i="4"/>
  <c r="D661" i="4"/>
  <c r="E661" i="4"/>
  <c r="F661" i="4"/>
  <c r="G661" i="4"/>
  <c r="D662" i="4"/>
  <c r="E662" i="4"/>
  <c r="F662" i="4"/>
  <c r="G662" i="4"/>
  <c r="D663" i="4"/>
  <c r="E663" i="4"/>
  <c r="F663" i="4"/>
  <c r="G663" i="4"/>
  <c r="D664" i="4"/>
  <c r="E664" i="4"/>
  <c r="F664" i="4"/>
  <c r="G664" i="4"/>
  <c r="D665" i="4"/>
  <c r="E665" i="4"/>
  <c r="F665" i="4"/>
  <c r="G665" i="4"/>
  <c r="D666" i="4"/>
  <c r="E666" i="4"/>
  <c r="F666" i="4"/>
  <c r="G666" i="4"/>
  <c r="D667" i="4"/>
  <c r="E667" i="4"/>
  <c r="F667" i="4"/>
  <c r="G667" i="4"/>
  <c r="D668" i="4"/>
  <c r="E668" i="4"/>
  <c r="F668" i="4"/>
  <c r="G668" i="4"/>
  <c r="D669" i="4"/>
  <c r="E669" i="4"/>
  <c r="F669" i="4"/>
  <c r="G669" i="4"/>
  <c r="D670" i="4"/>
  <c r="E670" i="4"/>
  <c r="F670" i="4"/>
  <c r="G670" i="4"/>
  <c r="D671" i="4"/>
  <c r="E671" i="4"/>
  <c r="F671" i="4"/>
  <c r="G671" i="4"/>
  <c r="D672" i="4"/>
  <c r="E672" i="4"/>
  <c r="F672" i="4"/>
  <c r="G672" i="4"/>
  <c r="D673" i="4"/>
  <c r="E673" i="4"/>
  <c r="F673" i="4"/>
  <c r="G673" i="4"/>
  <c r="D674" i="4"/>
  <c r="E674" i="4"/>
  <c r="F674" i="4"/>
  <c r="G674" i="4"/>
  <c r="D675" i="4"/>
  <c r="E675" i="4"/>
  <c r="F675" i="4"/>
  <c r="G675" i="4"/>
  <c r="D676" i="4"/>
  <c r="E676" i="4"/>
  <c r="F676" i="4"/>
  <c r="G676" i="4"/>
  <c r="D677" i="4"/>
  <c r="E677" i="4"/>
  <c r="F677" i="4"/>
  <c r="G677" i="4"/>
  <c r="D678" i="4"/>
  <c r="E678" i="4"/>
  <c r="F678" i="4"/>
  <c r="G678" i="4"/>
  <c r="D679" i="4"/>
  <c r="E679" i="4"/>
  <c r="F679" i="4"/>
  <c r="G679" i="4"/>
  <c r="D680" i="4"/>
  <c r="E680" i="4"/>
  <c r="F680" i="4"/>
  <c r="G680" i="4"/>
  <c r="D681" i="4"/>
  <c r="E681" i="4"/>
  <c r="F681" i="4"/>
  <c r="G681" i="4"/>
  <c r="D682" i="4"/>
  <c r="E682" i="4"/>
  <c r="F682" i="4"/>
  <c r="G682" i="4"/>
  <c r="D683" i="4"/>
  <c r="E683" i="4"/>
  <c r="F683" i="4"/>
  <c r="G683" i="4"/>
  <c r="D684" i="4"/>
  <c r="E684" i="4"/>
  <c r="F684" i="4"/>
  <c r="G684" i="4"/>
  <c r="D685" i="4"/>
  <c r="E685" i="4"/>
  <c r="F685" i="4"/>
  <c r="G685" i="4"/>
  <c r="D686" i="4"/>
  <c r="E686" i="4"/>
  <c r="F686" i="4"/>
  <c r="G686" i="4"/>
  <c r="B687" i="4"/>
  <c r="D687" i="4"/>
  <c r="E687" i="4"/>
  <c r="F687" i="4"/>
  <c r="G687" i="4"/>
  <c r="D688" i="4"/>
  <c r="E688" i="4"/>
  <c r="F688" i="4"/>
  <c r="G688" i="4"/>
  <c r="D689" i="4"/>
  <c r="E689" i="4"/>
  <c r="F689" i="4"/>
  <c r="G689" i="4"/>
  <c r="D690" i="4"/>
  <c r="E690" i="4"/>
  <c r="F690" i="4"/>
  <c r="G690" i="4"/>
  <c r="D691" i="4"/>
  <c r="E691" i="4"/>
  <c r="F691" i="4"/>
  <c r="G691" i="4"/>
  <c r="D692" i="4"/>
  <c r="E692" i="4"/>
  <c r="F692" i="4"/>
  <c r="G692" i="4"/>
  <c r="D693" i="4"/>
  <c r="E693" i="4"/>
  <c r="F693" i="4"/>
  <c r="G693" i="4"/>
  <c r="D694" i="4"/>
  <c r="E694" i="4"/>
  <c r="F694" i="4"/>
  <c r="G694" i="4"/>
  <c r="D695" i="4"/>
  <c r="E695" i="4"/>
  <c r="F695" i="4"/>
  <c r="G695" i="4"/>
  <c r="D696" i="4"/>
  <c r="E696" i="4"/>
  <c r="F696" i="4"/>
  <c r="G696" i="4"/>
  <c r="D697" i="4"/>
  <c r="E697" i="4"/>
  <c r="F697" i="4"/>
  <c r="G697" i="4"/>
  <c r="D698" i="4"/>
  <c r="E698" i="4"/>
  <c r="F698" i="4"/>
  <c r="G698" i="4"/>
  <c r="D699" i="4"/>
  <c r="E699" i="4"/>
  <c r="F699" i="4"/>
  <c r="G699" i="4"/>
  <c r="D700" i="4"/>
  <c r="E700" i="4"/>
  <c r="F700" i="4"/>
  <c r="G700" i="4"/>
  <c r="D701" i="4"/>
  <c r="E701" i="4"/>
  <c r="F701" i="4"/>
  <c r="G701" i="4"/>
  <c r="D702" i="4"/>
  <c r="E702" i="4"/>
  <c r="F702" i="4"/>
  <c r="G702" i="4"/>
  <c r="D703" i="4"/>
  <c r="E703" i="4"/>
  <c r="F703" i="4"/>
  <c r="G703" i="4"/>
  <c r="D704" i="4"/>
  <c r="E704" i="4"/>
  <c r="F704" i="4"/>
  <c r="G704" i="4"/>
  <c r="D705" i="4"/>
  <c r="E705" i="4"/>
  <c r="F705" i="4"/>
  <c r="G705" i="4"/>
  <c r="D706" i="4"/>
  <c r="E706" i="4"/>
  <c r="F706" i="4"/>
  <c r="G706" i="4"/>
  <c r="D707" i="4"/>
  <c r="E707" i="4"/>
  <c r="F707" i="4"/>
  <c r="G707" i="4"/>
  <c r="D708" i="4"/>
  <c r="E708" i="4"/>
  <c r="F708" i="4"/>
  <c r="G708" i="4"/>
  <c r="B709" i="4"/>
  <c r="D709" i="4"/>
  <c r="E709" i="4"/>
  <c r="F709" i="4"/>
  <c r="G709" i="4"/>
  <c r="D710" i="4"/>
  <c r="E710" i="4"/>
  <c r="F710" i="4"/>
  <c r="G710" i="4"/>
  <c r="D711" i="4"/>
  <c r="E711" i="4"/>
  <c r="F711" i="4"/>
  <c r="G711" i="4"/>
  <c r="D712" i="4"/>
  <c r="E712" i="4"/>
  <c r="F712" i="4"/>
  <c r="G712" i="4"/>
  <c r="D713" i="4"/>
  <c r="E713" i="4"/>
  <c r="F713" i="4"/>
  <c r="G713" i="4"/>
  <c r="D714" i="4"/>
  <c r="E714" i="4"/>
  <c r="F714" i="4"/>
  <c r="G714" i="4"/>
  <c r="D715" i="4"/>
  <c r="E715" i="4"/>
  <c r="F715" i="4"/>
  <c r="G715" i="4"/>
  <c r="D716" i="4"/>
  <c r="E716" i="4"/>
  <c r="F716" i="4"/>
  <c r="G716" i="4"/>
  <c r="D717" i="4"/>
  <c r="E717" i="4"/>
  <c r="F717" i="4"/>
  <c r="G717" i="4"/>
  <c r="D718" i="4"/>
  <c r="E718" i="4"/>
  <c r="F718" i="4"/>
  <c r="G718" i="4"/>
  <c r="D719" i="4"/>
  <c r="E719" i="4"/>
  <c r="F719" i="4"/>
  <c r="G719" i="4"/>
  <c r="D720" i="4"/>
  <c r="E720" i="4"/>
  <c r="F720" i="4"/>
  <c r="G720" i="4"/>
  <c r="D721" i="4"/>
  <c r="E721" i="4"/>
  <c r="F721" i="4"/>
  <c r="G721" i="4"/>
  <c r="D722" i="4"/>
  <c r="E722" i="4"/>
  <c r="F722" i="4"/>
  <c r="G722" i="4"/>
  <c r="D723" i="4"/>
  <c r="E723" i="4"/>
  <c r="F723" i="4"/>
  <c r="G723" i="4"/>
  <c r="D724" i="4"/>
  <c r="E724" i="4"/>
  <c r="F724" i="4"/>
  <c r="G724" i="4"/>
  <c r="D725" i="4"/>
  <c r="E725" i="4"/>
  <c r="F725" i="4"/>
  <c r="G725" i="4"/>
  <c r="D726" i="4"/>
  <c r="E726" i="4"/>
  <c r="F726" i="4"/>
  <c r="G726" i="4"/>
  <c r="D727" i="4"/>
  <c r="E727" i="4"/>
  <c r="F727" i="4"/>
  <c r="G727" i="4"/>
  <c r="D728" i="4"/>
  <c r="E728" i="4"/>
  <c r="F728" i="4"/>
  <c r="G728" i="4"/>
  <c r="D729" i="4"/>
  <c r="E729" i="4"/>
  <c r="F729" i="4"/>
  <c r="G729" i="4"/>
  <c r="D730" i="4"/>
  <c r="E730" i="4"/>
  <c r="F730" i="4"/>
  <c r="G730" i="4"/>
  <c r="D731" i="4"/>
  <c r="E731" i="4"/>
  <c r="F731" i="4"/>
  <c r="G731" i="4"/>
  <c r="D732" i="4"/>
  <c r="E732" i="4"/>
  <c r="F732" i="4"/>
  <c r="G732" i="4"/>
  <c r="D733" i="4"/>
  <c r="E733" i="4"/>
  <c r="F733" i="4"/>
  <c r="G733" i="4"/>
  <c r="D734" i="4"/>
  <c r="E734" i="4"/>
  <c r="F734" i="4"/>
  <c r="G734" i="4"/>
  <c r="D735" i="4"/>
  <c r="E735" i="4"/>
  <c r="F735" i="4"/>
  <c r="G735" i="4"/>
  <c r="D736" i="4"/>
  <c r="E736" i="4"/>
  <c r="F736" i="4"/>
  <c r="G736" i="4"/>
  <c r="D737" i="4"/>
  <c r="E737" i="4"/>
  <c r="F737" i="4"/>
  <c r="G737" i="4"/>
  <c r="D738" i="4"/>
  <c r="E738" i="4"/>
  <c r="F738" i="4"/>
  <c r="G738" i="4"/>
  <c r="D739" i="4"/>
  <c r="E739" i="4"/>
  <c r="F739" i="4"/>
  <c r="G739" i="4"/>
  <c r="D740" i="4"/>
  <c r="E740" i="4"/>
  <c r="F740" i="4"/>
  <c r="G740" i="4"/>
  <c r="D741" i="4"/>
  <c r="E741" i="4"/>
  <c r="F741" i="4"/>
  <c r="G741" i="4"/>
  <c r="D742" i="4"/>
  <c r="E742" i="4"/>
  <c r="F742" i="4"/>
  <c r="G742" i="4"/>
  <c r="D743" i="4"/>
  <c r="E743" i="4"/>
  <c r="F743" i="4"/>
  <c r="G743" i="4"/>
  <c r="D744" i="4"/>
  <c r="E744" i="4"/>
  <c r="F744" i="4"/>
  <c r="G744" i="4"/>
  <c r="D745" i="4"/>
  <c r="E745" i="4"/>
  <c r="F745" i="4"/>
  <c r="G745" i="4"/>
  <c r="D746" i="4"/>
  <c r="E746" i="4"/>
  <c r="F746" i="4"/>
  <c r="G746" i="4"/>
  <c r="D747" i="4"/>
  <c r="E747" i="4"/>
  <c r="F747" i="4"/>
  <c r="G747" i="4"/>
  <c r="D748" i="4"/>
  <c r="E748" i="4"/>
  <c r="F748" i="4"/>
  <c r="G748" i="4"/>
  <c r="D749" i="4"/>
  <c r="E749" i="4"/>
  <c r="F749" i="4"/>
  <c r="G749" i="4"/>
  <c r="D750" i="4"/>
  <c r="E750" i="4"/>
  <c r="F750" i="4"/>
  <c r="G750" i="4"/>
  <c r="B751" i="4"/>
  <c r="D751" i="4"/>
  <c r="E751" i="4"/>
  <c r="F751" i="4"/>
  <c r="G751" i="4"/>
  <c r="D752" i="4"/>
  <c r="E752" i="4"/>
  <c r="F752" i="4"/>
  <c r="G752" i="4"/>
  <c r="D753" i="4"/>
  <c r="E753" i="4"/>
  <c r="F753" i="4"/>
  <c r="G753" i="4"/>
  <c r="D754" i="4"/>
  <c r="E754" i="4"/>
  <c r="F754" i="4"/>
  <c r="G754" i="4"/>
  <c r="D755" i="4"/>
  <c r="E755" i="4"/>
  <c r="F755" i="4"/>
  <c r="G755" i="4"/>
  <c r="D756" i="4"/>
  <c r="E756" i="4"/>
  <c r="F756" i="4"/>
  <c r="G756" i="4"/>
  <c r="D757" i="4"/>
  <c r="E757" i="4"/>
  <c r="F757" i="4"/>
  <c r="G757" i="4"/>
  <c r="D758" i="4"/>
  <c r="E758" i="4"/>
  <c r="F758" i="4"/>
  <c r="G758" i="4"/>
  <c r="D759" i="4"/>
  <c r="E759" i="4"/>
  <c r="F759" i="4"/>
  <c r="G759" i="4"/>
  <c r="D760" i="4"/>
  <c r="E760" i="4"/>
  <c r="F760" i="4"/>
  <c r="G760" i="4"/>
  <c r="D761" i="4"/>
  <c r="E761" i="4"/>
  <c r="F761" i="4"/>
  <c r="G761" i="4"/>
  <c r="D762" i="4"/>
  <c r="E762" i="4"/>
  <c r="F762" i="4"/>
  <c r="G762" i="4"/>
  <c r="D763" i="4"/>
  <c r="E763" i="4"/>
  <c r="F763" i="4"/>
  <c r="G763" i="4"/>
  <c r="D764" i="4"/>
  <c r="E764" i="4"/>
  <c r="F764" i="4"/>
  <c r="G764" i="4"/>
  <c r="D765" i="4"/>
  <c r="E765" i="4"/>
  <c r="F765" i="4"/>
  <c r="G765" i="4"/>
  <c r="D766" i="4"/>
  <c r="E766" i="4"/>
  <c r="F766" i="4"/>
  <c r="G766" i="4"/>
  <c r="D767" i="4"/>
  <c r="E767" i="4"/>
  <c r="F767" i="4"/>
  <c r="G767" i="4"/>
  <c r="D768" i="4"/>
  <c r="E768" i="4"/>
  <c r="F768" i="4"/>
  <c r="G768" i="4"/>
  <c r="D769" i="4"/>
  <c r="E769" i="4"/>
  <c r="F769" i="4"/>
  <c r="G769" i="4"/>
  <c r="D770" i="4"/>
  <c r="E770" i="4"/>
  <c r="F770" i="4"/>
  <c r="G770" i="4"/>
  <c r="D771" i="4"/>
  <c r="E771" i="4"/>
  <c r="F771" i="4"/>
  <c r="G771" i="4"/>
  <c r="D772" i="4"/>
  <c r="E772" i="4"/>
  <c r="F772" i="4"/>
  <c r="G772" i="4"/>
  <c r="B773" i="4"/>
  <c r="D773" i="4"/>
  <c r="E773" i="4"/>
  <c r="F773" i="4"/>
  <c r="G773" i="4"/>
  <c r="D774" i="4"/>
  <c r="E774" i="4"/>
  <c r="F774" i="4"/>
  <c r="G774" i="4"/>
  <c r="D775" i="4"/>
  <c r="E775" i="4"/>
  <c r="F775" i="4"/>
  <c r="G775" i="4"/>
  <c r="D776" i="4"/>
  <c r="E776" i="4"/>
  <c r="F776" i="4"/>
  <c r="G776" i="4"/>
  <c r="D777" i="4"/>
  <c r="E777" i="4"/>
  <c r="F777" i="4"/>
  <c r="G777" i="4"/>
  <c r="D778" i="4"/>
  <c r="E778" i="4"/>
  <c r="F778" i="4"/>
  <c r="G778" i="4"/>
  <c r="D779" i="4"/>
  <c r="E779" i="4"/>
  <c r="F779" i="4"/>
  <c r="G779" i="4"/>
  <c r="D780" i="4"/>
  <c r="E780" i="4"/>
  <c r="F780" i="4"/>
  <c r="G780" i="4"/>
  <c r="D781" i="4"/>
  <c r="E781" i="4"/>
  <c r="F781" i="4"/>
  <c r="G781" i="4"/>
  <c r="D782" i="4"/>
  <c r="E782" i="4"/>
  <c r="F782" i="4"/>
  <c r="G782" i="4"/>
  <c r="D783" i="4"/>
  <c r="E783" i="4"/>
  <c r="F783" i="4"/>
  <c r="G783" i="4"/>
  <c r="D784" i="4"/>
  <c r="E784" i="4"/>
  <c r="F784" i="4"/>
  <c r="G784" i="4"/>
  <c r="D785" i="4"/>
  <c r="E785" i="4"/>
  <c r="F785" i="4"/>
  <c r="G785" i="4"/>
  <c r="D786" i="4"/>
  <c r="E786" i="4"/>
  <c r="F786" i="4"/>
  <c r="G786" i="4"/>
  <c r="D787" i="4"/>
  <c r="E787" i="4"/>
  <c r="F787" i="4"/>
  <c r="G787" i="4"/>
  <c r="D788" i="4"/>
  <c r="E788" i="4"/>
  <c r="F788" i="4"/>
  <c r="G788" i="4"/>
  <c r="D789" i="4"/>
  <c r="E789" i="4"/>
  <c r="F789" i="4"/>
  <c r="G789" i="4"/>
  <c r="D790" i="4"/>
  <c r="E790" i="4"/>
  <c r="F790" i="4"/>
  <c r="G790" i="4"/>
  <c r="B791" i="4"/>
  <c r="D791" i="4"/>
  <c r="E791" i="4"/>
  <c r="F791" i="4"/>
  <c r="G791" i="4"/>
  <c r="D792" i="4"/>
  <c r="E792" i="4"/>
  <c r="F792" i="4"/>
  <c r="G792" i="4"/>
  <c r="D793" i="4"/>
  <c r="E793" i="4"/>
  <c r="F793" i="4"/>
  <c r="G793" i="4"/>
  <c r="D794" i="4"/>
  <c r="E794" i="4"/>
  <c r="F794" i="4"/>
  <c r="G794" i="4"/>
  <c r="D795" i="4"/>
  <c r="E795" i="4"/>
  <c r="F795" i="4"/>
  <c r="G795" i="4"/>
  <c r="D796" i="4"/>
  <c r="E796" i="4"/>
  <c r="F796" i="4"/>
  <c r="G796" i="4"/>
  <c r="D797" i="4"/>
  <c r="E797" i="4"/>
  <c r="F797" i="4"/>
  <c r="G797" i="4"/>
  <c r="D798" i="4"/>
  <c r="E798" i="4"/>
  <c r="F798" i="4"/>
  <c r="G798" i="4"/>
  <c r="D799" i="4"/>
  <c r="E799" i="4"/>
  <c r="F799" i="4"/>
  <c r="G799" i="4"/>
  <c r="D800" i="4"/>
  <c r="E800" i="4"/>
  <c r="F800" i="4"/>
  <c r="G800" i="4"/>
  <c r="D801" i="4"/>
  <c r="E801" i="4"/>
  <c r="F801" i="4"/>
  <c r="G801" i="4"/>
  <c r="D802" i="4"/>
  <c r="E802" i="4"/>
  <c r="F802" i="4"/>
  <c r="G802" i="4"/>
  <c r="D803" i="4"/>
  <c r="E803" i="4"/>
  <c r="F803" i="4"/>
  <c r="G803" i="4"/>
  <c r="D804" i="4"/>
  <c r="E804" i="4"/>
  <c r="F804" i="4"/>
  <c r="G804" i="4"/>
  <c r="D805" i="4"/>
  <c r="E805" i="4"/>
  <c r="F805" i="4"/>
  <c r="G805" i="4"/>
  <c r="D806" i="4"/>
  <c r="E806" i="4"/>
  <c r="F806" i="4"/>
  <c r="G806" i="4"/>
  <c r="B807" i="4"/>
  <c r="D807" i="4"/>
  <c r="E807" i="4"/>
  <c r="F807" i="4"/>
  <c r="G807" i="4"/>
  <c r="D808" i="4"/>
  <c r="E808" i="4"/>
  <c r="F808" i="4"/>
  <c r="G808" i="4"/>
  <c r="D809" i="4"/>
  <c r="E809" i="4"/>
  <c r="F809" i="4"/>
  <c r="G809" i="4"/>
  <c r="D810" i="4"/>
  <c r="E810" i="4"/>
  <c r="F810" i="4"/>
  <c r="G810" i="4"/>
  <c r="D811" i="4"/>
  <c r="E811" i="4"/>
  <c r="F811" i="4"/>
  <c r="G811" i="4"/>
  <c r="D812" i="4"/>
  <c r="E812" i="4"/>
  <c r="F812" i="4"/>
  <c r="G812" i="4"/>
  <c r="D813" i="4"/>
  <c r="E813" i="4"/>
  <c r="F813" i="4"/>
  <c r="G813" i="4"/>
  <c r="D814" i="4"/>
  <c r="E814" i="4"/>
  <c r="F814" i="4"/>
  <c r="G814" i="4"/>
  <c r="D815" i="4"/>
  <c r="E815" i="4"/>
  <c r="F815" i="4"/>
  <c r="G815" i="4"/>
  <c r="D816" i="4"/>
  <c r="E816" i="4"/>
  <c r="F816" i="4"/>
  <c r="G816" i="4"/>
  <c r="D817" i="4"/>
  <c r="E817" i="4"/>
  <c r="F817" i="4"/>
  <c r="G817" i="4"/>
  <c r="D818" i="4"/>
  <c r="E818" i="4"/>
  <c r="F818" i="4"/>
  <c r="G818" i="4"/>
  <c r="D819" i="4"/>
  <c r="E819" i="4"/>
  <c r="F819" i="4"/>
  <c r="G819" i="4"/>
  <c r="D820" i="4"/>
  <c r="E820" i="4"/>
  <c r="F820" i="4"/>
  <c r="G820" i="4"/>
  <c r="D821" i="4"/>
  <c r="E821" i="4"/>
  <c r="F821" i="4"/>
  <c r="G821" i="4"/>
  <c r="D822" i="4"/>
  <c r="E822" i="4"/>
  <c r="F822" i="4"/>
  <c r="G822" i="4"/>
  <c r="B823" i="4"/>
  <c r="D823" i="4"/>
  <c r="E823" i="4"/>
  <c r="F823" i="4"/>
  <c r="G823" i="4"/>
  <c r="D824" i="4"/>
  <c r="E824" i="4"/>
  <c r="F824" i="4"/>
  <c r="G824" i="4"/>
  <c r="D825" i="4"/>
  <c r="E825" i="4"/>
  <c r="F825" i="4"/>
  <c r="G825" i="4"/>
  <c r="D826" i="4"/>
  <c r="E826" i="4"/>
  <c r="F826" i="4"/>
  <c r="G826" i="4"/>
  <c r="D827" i="4"/>
  <c r="E827" i="4"/>
  <c r="F827" i="4"/>
  <c r="G827" i="4"/>
  <c r="D828" i="4"/>
  <c r="E828" i="4"/>
  <c r="F828" i="4"/>
  <c r="G828" i="4"/>
  <c r="D829" i="4"/>
  <c r="E829" i="4"/>
  <c r="F829" i="4"/>
  <c r="G829" i="4"/>
  <c r="D830" i="4"/>
  <c r="E830" i="4"/>
  <c r="F830" i="4"/>
  <c r="G830" i="4"/>
  <c r="D831" i="4"/>
  <c r="E831" i="4"/>
  <c r="F831" i="4"/>
  <c r="G831" i="4"/>
  <c r="D832" i="4"/>
  <c r="E832" i="4"/>
  <c r="F832" i="4"/>
  <c r="G832" i="4"/>
  <c r="D833" i="4"/>
  <c r="E833" i="4"/>
  <c r="F833" i="4"/>
  <c r="G833" i="4"/>
  <c r="D834" i="4"/>
  <c r="E834" i="4"/>
  <c r="F834" i="4"/>
  <c r="G834" i="4"/>
  <c r="D835" i="4"/>
  <c r="E835" i="4"/>
  <c r="F835" i="4"/>
  <c r="G835" i="4"/>
  <c r="D836" i="4"/>
  <c r="E836" i="4"/>
  <c r="F836" i="4"/>
  <c r="G836" i="4"/>
  <c r="D837" i="4"/>
  <c r="E837" i="4"/>
  <c r="F837" i="4"/>
  <c r="G837" i="4"/>
  <c r="D838" i="4"/>
  <c r="E838" i="4"/>
  <c r="F838" i="4"/>
  <c r="G838" i="4"/>
  <c r="B839" i="4"/>
  <c r="D839" i="4"/>
  <c r="E839" i="4"/>
  <c r="F839" i="4"/>
  <c r="G839" i="4"/>
  <c r="D840" i="4"/>
  <c r="E840" i="4"/>
  <c r="F840" i="4"/>
  <c r="G840" i="4"/>
  <c r="D841" i="4"/>
  <c r="E841" i="4"/>
  <c r="F841" i="4"/>
  <c r="G841" i="4"/>
  <c r="D842" i="4"/>
  <c r="E842" i="4"/>
  <c r="F842" i="4"/>
  <c r="G842" i="4"/>
  <c r="D843" i="4"/>
  <c r="E843" i="4"/>
  <c r="F843" i="4"/>
  <c r="G843" i="4"/>
  <c r="D844" i="4"/>
  <c r="E844" i="4"/>
  <c r="F844" i="4"/>
  <c r="G844" i="4"/>
  <c r="D845" i="4"/>
  <c r="E845" i="4"/>
  <c r="F845" i="4"/>
  <c r="G845" i="4"/>
  <c r="D846" i="4"/>
  <c r="E846" i="4"/>
  <c r="F846" i="4"/>
  <c r="G846" i="4"/>
  <c r="D847" i="4"/>
  <c r="E847" i="4"/>
  <c r="F847" i="4"/>
  <c r="G847" i="4"/>
  <c r="D848" i="4"/>
  <c r="E848" i="4"/>
  <c r="F848" i="4"/>
  <c r="G848" i="4"/>
  <c r="D849" i="4"/>
  <c r="E849" i="4"/>
  <c r="F849" i="4"/>
  <c r="G849" i="4"/>
  <c r="D850" i="4"/>
  <c r="E850" i="4"/>
  <c r="F850" i="4"/>
  <c r="G850" i="4"/>
  <c r="D851" i="4"/>
  <c r="E851" i="4"/>
  <c r="F851" i="4"/>
  <c r="G851" i="4"/>
  <c r="D852" i="4"/>
  <c r="E852" i="4"/>
  <c r="F852" i="4"/>
  <c r="G852" i="4"/>
  <c r="D853" i="4"/>
  <c r="E853" i="4"/>
  <c r="F853" i="4"/>
  <c r="G853" i="4"/>
  <c r="D854" i="4"/>
  <c r="E854" i="4"/>
  <c r="F854" i="4"/>
  <c r="G854" i="4"/>
  <c r="B855" i="4"/>
  <c r="D855" i="4"/>
  <c r="E855" i="4"/>
  <c r="F855" i="4"/>
  <c r="G855" i="4"/>
  <c r="D856" i="4"/>
  <c r="E856" i="4"/>
  <c r="F856" i="4"/>
  <c r="G856" i="4"/>
  <c r="D857" i="4"/>
  <c r="E857" i="4"/>
  <c r="F857" i="4"/>
  <c r="G857" i="4"/>
  <c r="D858" i="4"/>
  <c r="E858" i="4"/>
  <c r="F858" i="4"/>
  <c r="G858" i="4"/>
  <c r="D859" i="4"/>
  <c r="E859" i="4"/>
  <c r="F859" i="4"/>
  <c r="G859" i="4"/>
  <c r="D860" i="4"/>
  <c r="E860" i="4"/>
  <c r="F860" i="4"/>
  <c r="G860" i="4"/>
  <c r="D861" i="4"/>
  <c r="E861" i="4"/>
  <c r="F861" i="4"/>
  <c r="G861" i="4"/>
  <c r="D862" i="4"/>
  <c r="E862" i="4"/>
  <c r="F862" i="4"/>
  <c r="G862" i="4"/>
  <c r="D863" i="4"/>
  <c r="E863" i="4"/>
  <c r="F863" i="4"/>
  <c r="G863" i="4"/>
  <c r="D864" i="4"/>
  <c r="E864" i="4"/>
  <c r="F864" i="4"/>
  <c r="G864" i="4"/>
  <c r="D865" i="4"/>
  <c r="E865" i="4"/>
  <c r="F865" i="4"/>
  <c r="G865" i="4"/>
  <c r="D866" i="4"/>
  <c r="E866" i="4"/>
  <c r="F866" i="4"/>
  <c r="G866" i="4"/>
  <c r="D867" i="4"/>
  <c r="E867" i="4"/>
  <c r="F867" i="4"/>
  <c r="G867" i="4"/>
  <c r="D868" i="4"/>
  <c r="E868" i="4"/>
  <c r="F868" i="4"/>
  <c r="G868" i="4"/>
  <c r="D869" i="4"/>
  <c r="E869" i="4"/>
  <c r="F869" i="4"/>
  <c r="G869" i="4"/>
  <c r="D870" i="4"/>
  <c r="E870" i="4"/>
  <c r="F870" i="4"/>
  <c r="G870" i="4"/>
  <c r="B871" i="4"/>
  <c r="D871" i="4"/>
  <c r="E871" i="4"/>
  <c r="F871" i="4"/>
  <c r="G871" i="4"/>
  <c r="D872" i="4"/>
  <c r="E872" i="4"/>
  <c r="F872" i="4"/>
  <c r="G872" i="4"/>
  <c r="D873" i="4"/>
  <c r="E873" i="4"/>
  <c r="F873" i="4"/>
  <c r="G873" i="4"/>
  <c r="D874" i="4"/>
  <c r="E874" i="4"/>
  <c r="F874" i="4"/>
  <c r="G874" i="4"/>
  <c r="D875" i="4"/>
  <c r="E875" i="4"/>
  <c r="F875" i="4"/>
  <c r="G875" i="4"/>
  <c r="D876" i="4"/>
  <c r="E876" i="4"/>
  <c r="F876" i="4"/>
  <c r="G876" i="4"/>
  <c r="D877" i="4"/>
  <c r="E877" i="4"/>
  <c r="F877" i="4"/>
  <c r="G877" i="4"/>
  <c r="D878" i="4"/>
  <c r="E878" i="4"/>
  <c r="F878" i="4"/>
  <c r="G878" i="4"/>
  <c r="B879" i="4"/>
  <c r="D879" i="4"/>
  <c r="E879" i="4"/>
  <c r="F879" i="4"/>
  <c r="G879" i="4"/>
  <c r="D880" i="4"/>
  <c r="E880" i="4"/>
  <c r="F880" i="4"/>
  <c r="G880" i="4"/>
  <c r="D881" i="4"/>
  <c r="E881" i="4"/>
  <c r="F881" i="4"/>
  <c r="G881" i="4"/>
  <c r="D882" i="4"/>
  <c r="E882" i="4"/>
  <c r="F882" i="4"/>
  <c r="G882" i="4"/>
  <c r="D883" i="4"/>
  <c r="E883" i="4"/>
  <c r="F883" i="4"/>
  <c r="G883" i="4"/>
  <c r="D884" i="4"/>
  <c r="E884" i="4"/>
  <c r="F884" i="4"/>
  <c r="G884" i="4"/>
  <c r="B885" i="4"/>
  <c r="D885" i="4"/>
  <c r="E885" i="4"/>
  <c r="F885" i="4"/>
  <c r="G885" i="4"/>
  <c r="D886" i="4"/>
  <c r="E886" i="4"/>
  <c r="F886" i="4"/>
  <c r="G886" i="4"/>
  <c r="D887" i="4"/>
  <c r="E887" i="4"/>
  <c r="F887" i="4"/>
  <c r="G887" i="4"/>
  <c r="D888" i="4"/>
  <c r="E888" i="4"/>
  <c r="F888" i="4"/>
  <c r="G888" i="4"/>
  <c r="D889" i="4"/>
  <c r="E889" i="4"/>
  <c r="F889" i="4"/>
  <c r="G889" i="4"/>
  <c r="D890" i="4"/>
  <c r="E890" i="4"/>
  <c r="F890" i="4"/>
  <c r="G890" i="4"/>
  <c r="D891" i="4"/>
  <c r="E891" i="4"/>
  <c r="F891" i="4"/>
  <c r="G891" i="4"/>
  <c r="D892" i="4"/>
  <c r="E892" i="4"/>
  <c r="F892" i="4"/>
  <c r="G892" i="4"/>
  <c r="D893" i="4"/>
  <c r="E893" i="4"/>
  <c r="F893" i="4"/>
  <c r="G893" i="4"/>
  <c r="D894" i="4"/>
  <c r="E894" i="4"/>
  <c r="F894" i="4"/>
  <c r="G894" i="4"/>
  <c r="B895" i="4"/>
  <c r="D895" i="4"/>
  <c r="E895" i="4"/>
  <c r="F895" i="4"/>
  <c r="G895" i="4"/>
  <c r="D896" i="4"/>
  <c r="E896" i="4"/>
  <c r="F896" i="4"/>
  <c r="G896" i="4"/>
  <c r="D897" i="4"/>
  <c r="E897" i="4"/>
  <c r="F897" i="4"/>
  <c r="G897" i="4"/>
  <c r="D898" i="4"/>
  <c r="E898" i="4"/>
  <c r="F898" i="4"/>
  <c r="G898" i="4"/>
  <c r="D899" i="4"/>
  <c r="E899" i="4"/>
  <c r="F899" i="4"/>
  <c r="G899" i="4"/>
  <c r="D900" i="4"/>
  <c r="E900" i="4"/>
  <c r="F900" i="4"/>
  <c r="G900" i="4"/>
  <c r="B901" i="4"/>
  <c r="D901" i="4"/>
  <c r="E901" i="4"/>
  <c r="F901" i="4"/>
  <c r="G901" i="4"/>
  <c r="D902" i="4"/>
  <c r="E902" i="4"/>
  <c r="F902" i="4"/>
  <c r="G902" i="4"/>
  <c r="D903" i="4"/>
  <c r="E903" i="4"/>
  <c r="F903" i="4"/>
  <c r="G903" i="4"/>
  <c r="D904" i="4"/>
  <c r="E904" i="4"/>
  <c r="F904" i="4"/>
  <c r="G904" i="4"/>
  <c r="D905" i="4"/>
  <c r="E905" i="4"/>
  <c r="F905" i="4"/>
  <c r="G905" i="4"/>
  <c r="D906" i="4"/>
  <c r="E906" i="4"/>
  <c r="F906" i="4"/>
  <c r="G906" i="4"/>
  <c r="D907" i="4"/>
  <c r="E907" i="4"/>
  <c r="F907" i="4"/>
  <c r="G907" i="4"/>
  <c r="D908" i="4"/>
  <c r="E908" i="4"/>
  <c r="F908" i="4"/>
  <c r="G908" i="4"/>
  <c r="D909" i="4"/>
  <c r="E909" i="4"/>
  <c r="F909" i="4"/>
  <c r="G909" i="4"/>
  <c r="D910" i="4"/>
  <c r="E910" i="4"/>
  <c r="F910" i="4"/>
  <c r="G910" i="4"/>
  <c r="B911" i="4"/>
  <c r="D911" i="4"/>
  <c r="E911" i="4"/>
  <c r="F911" i="4"/>
  <c r="G911" i="4"/>
  <c r="D912" i="4"/>
  <c r="E912" i="4"/>
  <c r="F912" i="4"/>
  <c r="G912" i="4"/>
  <c r="D913" i="4"/>
  <c r="E913" i="4"/>
  <c r="F913" i="4"/>
  <c r="G913" i="4"/>
  <c r="D914" i="4"/>
  <c r="E914" i="4"/>
  <c r="F914" i="4"/>
  <c r="G914" i="4"/>
  <c r="D915" i="4"/>
  <c r="E915" i="4"/>
  <c r="F915" i="4"/>
  <c r="G915" i="4"/>
  <c r="D916" i="4"/>
  <c r="E916" i="4"/>
  <c r="F916" i="4"/>
  <c r="G916" i="4"/>
  <c r="B917" i="4"/>
  <c r="D917" i="4"/>
  <c r="E917" i="4"/>
  <c r="F917" i="4"/>
  <c r="G917" i="4"/>
  <c r="D918" i="4"/>
  <c r="E918" i="4"/>
  <c r="F918" i="4"/>
  <c r="G918" i="4"/>
  <c r="D919" i="4"/>
  <c r="E919" i="4"/>
  <c r="F919" i="4"/>
  <c r="G919" i="4"/>
  <c r="D920" i="4"/>
  <c r="E920" i="4"/>
  <c r="F920" i="4"/>
  <c r="G920" i="4"/>
  <c r="D921" i="4"/>
  <c r="E921" i="4"/>
  <c r="F921" i="4"/>
  <c r="G921" i="4"/>
  <c r="D922" i="4"/>
  <c r="E922" i="4"/>
  <c r="F922" i="4"/>
  <c r="G922" i="4"/>
  <c r="D923" i="4"/>
  <c r="E923" i="4"/>
  <c r="F923" i="4"/>
  <c r="G923" i="4"/>
  <c r="D924" i="4"/>
  <c r="E924" i="4"/>
  <c r="F924" i="4"/>
  <c r="G924" i="4"/>
  <c r="D925" i="4"/>
  <c r="E925" i="4"/>
  <c r="F925" i="4"/>
  <c r="G925" i="4"/>
  <c r="D926" i="4"/>
  <c r="E926" i="4"/>
  <c r="F926" i="4"/>
  <c r="G926" i="4"/>
  <c r="B927" i="4"/>
  <c r="D927" i="4"/>
  <c r="E927" i="4"/>
  <c r="F927" i="4"/>
  <c r="G927" i="4"/>
  <c r="D928" i="4"/>
  <c r="E928" i="4"/>
  <c r="F928" i="4"/>
  <c r="G928" i="4"/>
  <c r="D929" i="4"/>
  <c r="E929" i="4"/>
  <c r="F929" i="4"/>
  <c r="G929" i="4"/>
  <c r="D930" i="4"/>
  <c r="E930" i="4"/>
  <c r="F930" i="4"/>
  <c r="G930" i="4"/>
  <c r="D931" i="4"/>
  <c r="E931" i="4"/>
  <c r="F931" i="4"/>
  <c r="G931" i="4"/>
  <c r="D932" i="4"/>
  <c r="E932" i="4"/>
  <c r="F932" i="4"/>
  <c r="G932" i="4"/>
  <c r="B933" i="4"/>
  <c r="D933" i="4"/>
  <c r="E933" i="4"/>
  <c r="F933" i="4"/>
  <c r="G933" i="4"/>
  <c r="D934" i="4"/>
  <c r="E934" i="4"/>
  <c r="F934" i="4"/>
  <c r="G934" i="4"/>
  <c r="D935" i="4"/>
  <c r="E935" i="4"/>
  <c r="F935" i="4"/>
  <c r="G935" i="4"/>
  <c r="D936" i="4"/>
  <c r="E936" i="4"/>
  <c r="F936" i="4"/>
  <c r="G936" i="4"/>
  <c r="D937" i="4"/>
  <c r="E937" i="4"/>
  <c r="F937" i="4"/>
  <c r="G937" i="4"/>
  <c r="D938" i="4"/>
  <c r="E938" i="4"/>
  <c r="F938" i="4"/>
  <c r="G938" i="4"/>
  <c r="D939" i="4"/>
  <c r="E939" i="4"/>
  <c r="F939" i="4"/>
  <c r="G939" i="4"/>
  <c r="D940" i="4"/>
  <c r="E940" i="4"/>
  <c r="F940" i="4"/>
  <c r="G940" i="4"/>
  <c r="D941" i="4"/>
  <c r="E941" i="4"/>
  <c r="F941" i="4"/>
  <c r="G941" i="4"/>
  <c r="D942" i="4"/>
  <c r="E942" i="4"/>
  <c r="F942" i="4"/>
  <c r="G942" i="4"/>
  <c r="B943" i="4"/>
  <c r="D943" i="4"/>
  <c r="E943" i="4"/>
  <c r="F943" i="4"/>
  <c r="G943" i="4"/>
  <c r="D944" i="4"/>
  <c r="E944" i="4"/>
  <c r="F944" i="4"/>
  <c r="G944" i="4"/>
  <c r="D945" i="4"/>
  <c r="E945" i="4"/>
  <c r="F945" i="4"/>
  <c r="G945" i="4"/>
  <c r="D946" i="4"/>
  <c r="E946" i="4"/>
  <c r="F946" i="4"/>
  <c r="G946" i="4"/>
  <c r="D947" i="4"/>
  <c r="E947" i="4"/>
  <c r="F947" i="4"/>
  <c r="G947" i="4"/>
  <c r="D948" i="4"/>
  <c r="E948" i="4"/>
  <c r="F948" i="4"/>
  <c r="G948" i="4"/>
  <c r="B949" i="4"/>
  <c r="D949" i="4"/>
  <c r="E949" i="4"/>
  <c r="F949" i="4"/>
  <c r="G949" i="4"/>
  <c r="D950" i="4"/>
  <c r="E950" i="4"/>
  <c r="F950" i="4"/>
  <c r="G950" i="4"/>
  <c r="D951" i="4"/>
  <c r="E951" i="4"/>
  <c r="F951" i="4"/>
  <c r="G951" i="4"/>
  <c r="D952" i="4"/>
  <c r="E952" i="4"/>
  <c r="F952" i="4"/>
  <c r="G952" i="4"/>
  <c r="D953" i="4"/>
  <c r="E953" i="4"/>
  <c r="F953" i="4"/>
  <c r="G953" i="4"/>
  <c r="D954" i="4"/>
  <c r="E954" i="4"/>
  <c r="F954" i="4"/>
  <c r="G954" i="4"/>
  <c r="D955" i="4"/>
  <c r="E955" i="4"/>
  <c r="F955" i="4"/>
  <c r="G955" i="4"/>
  <c r="D956" i="4"/>
  <c r="E956" i="4"/>
  <c r="F956" i="4"/>
  <c r="G956" i="4"/>
  <c r="D957" i="4"/>
  <c r="E957" i="4"/>
  <c r="F957" i="4"/>
  <c r="G957" i="4"/>
  <c r="D958" i="4"/>
  <c r="E958" i="4"/>
  <c r="F958" i="4"/>
  <c r="G958" i="4"/>
  <c r="B959" i="4"/>
  <c r="D959" i="4"/>
  <c r="E959" i="4"/>
  <c r="F959" i="4"/>
  <c r="G959" i="4"/>
  <c r="D960" i="4"/>
  <c r="E960" i="4"/>
  <c r="F960" i="4"/>
  <c r="G960" i="4"/>
  <c r="D961" i="4"/>
  <c r="E961" i="4"/>
  <c r="F961" i="4"/>
  <c r="G961" i="4"/>
  <c r="D962" i="4"/>
  <c r="E962" i="4"/>
  <c r="F962" i="4"/>
  <c r="G962" i="4"/>
  <c r="D963" i="4"/>
  <c r="E963" i="4"/>
  <c r="F963" i="4"/>
  <c r="G963" i="4"/>
  <c r="D964" i="4"/>
  <c r="E964" i="4"/>
  <c r="F964" i="4"/>
  <c r="G964" i="4"/>
  <c r="B965" i="4"/>
  <c r="D965" i="4"/>
  <c r="E965" i="4"/>
  <c r="F965" i="4"/>
  <c r="G965" i="4"/>
  <c r="D966" i="4"/>
  <c r="E966" i="4"/>
  <c r="F966" i="4"/>
  <c r="G966" i="4"/>
  <c r="D967" i="4"/>
  <c r="E967" i="4"/>
  <c r="F967" i="4"/>
  <c r="G967" i="4"/>
  <c r="D968" i="4"/>
  <c r="E968" i="4"/>
  <c r="F968" i="4"/>
  <c r="G968" i="4"/>
  <c r="D969" i="4"/>
  <c r="E969" i="4"/>
  <c r="F969" i="4"/>
  <c r="G969" i="4"/>
  <c r="D970" i="4"/>
  <c r="E970" i="4"/>
  <c r="F970" i="4"/>
  <c r="G970" i="4"/>
  <c r="D971" i="4"/>
  <c r="E971" i="4"/>
  <c r="F971" i="4"/>
  <c r="G971" i="4"/>
  <c r="D972" i="4"/>
  <c r="E972" i="4"/>
  <c r="F972" i="4"/>
  <c r="G972" i="4"/>
  <c r="D973" i="4"/>
  <c r="E973" i="4"/>
  <c r="F973" i="4"/>
  <c r="G973" i="4"/>
  <c r="D974" i="4"/>
  <c r="E974" i="4"/>
  <c r="F974" i="4"/>
  <c r="G974" i="4"/>
  <c r="B975" i="4"/>
  <c r="D975" i="4"/>
  <c r="E975" i="4"/>
  <c r="F975" i="4"/>
  <c r="G975" i="4"/>
  <c r="D976" i="4"/>
  <c r="E976" i="4"/>
  <c r="F976" i="4"/>
  <c r="G976" i="4"/>
  <c r="D977" i="4"/>
  <c r="E977" i="4"/>
  <c r="F977" i="4"/>
  <c r="G977" i="4"/>
  <c r="D978" i="4"/>
  <c r="E978" i="4"/>
  <c r="F978" i="4"/>
  <c r="G978" i="4"/>
  <c r="D979" i="4"/>
  <c r="E979" i="4"/>
  <c r="F979" i="4"/>
  <c r="G979" i="4"/>
  <c r="D980" i="4"/>
  <c r="E980" i="4"/>
  <c r="F980" i="4"/>
  <c r="G980" i="4"/>
  <c r="B981" i="4"/>
  <c r="D981" i="4"/>
  <c r="E981" i="4"/>
  <c r="F981" i="4"/>
  <c r="G981" i="4"/>
  <c r="D982" i="4"/>
  <c r="E982" i="4"/>
  <c r="F982" i="4"/>
  <c r="G982" i="4"/>
  <c r="D983" i="4"/>
  <c r="E983" i="4"/>
  <c r="F983" i="4"/>
  <c r="G983" i="4"/>
  <c r="D984" i="4"/>
  <c r="E984" i="4"/>
  <c r="F984" i="4"/>
  <c r="G984" i="4"/>
  <c r="D985" i="4"/>
  <c r="E985" i="4"/>
  <c r="F985" i="4"/>
  <c r="G985" i="4"/>
  <c r="B11" i="4"/>
  <c r="E11" i="4"/>
  <c r="D11" i="4"/>
  <c r="A11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B8" i="4"/>
  <c r="B2" i="4"/>
  <c r="B36" i="4"/>
  <c r="B37" i="4"/>
  <c r="B38" i="4"/>
  <c r="B39" i="4"/>
  <c r="B40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2" i="4"/>
  <c r="B873" i="4"/>
  <c r="B874" i="4"/>
  <c r="B875" i="4"/>
  <c r="B876" i="4"/>
  <c r="B877" i="4"/>
  <c r="B878" i="4"/>
  <c r="B880" i="4"/>
  <c r="B881" i="4"/>
  <c r="B882" i="4"/>
  <c r="B883" i="4"/>
  <c r="B884" i="4"/>
  <c r="B886" i="4"/>
  <c r="B887" i="4"/>
  <c r="B888" i="4"/>
  <c r="B889" i="4"/>
  <c r="B890" i="4"/>
  <c r="B891" i="4"/>
  <c r="B892" i="4"/>
  <c r="B893" i="4"/>
  <c r="B894" i="4"/>
  <c r="B896" i="4"/>
  <c r="B897" i="4"/>
  <c r="B898" i="4"/>
  <c r="B899" i="4"/>
  <c r="B900" i="4"/>
  <c r="B902" i="4"/>
  <c r="B903" i="4"/>
  <c r="B904" i="4"/>
  <c r="B905" i="4"/>
  <c r="B906" i="4"/>
  <c r="B907" i="4"/>
  <c r="B908" i="4"/>
  <c r="B909" i="4"/>
  <c r="B910" i="4"/>
  <c r="B912" i="4"/>
  <c r="B913" i="4"/>
  <c r="B914" i="4"/>
  <c r="B915" i="4"/>
  <c r="B916" i="4"/>
  <c r="B918" i="4"/>
  <c r="B919" i="4"/>
  <c r="B920" i="4"/>
  <c r="B921" i="4"/>
  <c r="B922" i="4"/>
  <c r="B923" i="4"/>
  <c r="B924" i="4"/>
  <c r="B925" i="4"/>
  <c r="B926" i="4"/>
  <c r="B928" i="4"/>
  <c r="B929" i="4"/>
  <c r="B930" i="4"/>
  <c r="B931" i="4"/>
  <c r="B932" i="4"/>
  <c r="B934" i="4"/>
  <c r="B935" i="4"/>
  <c r="B936" i="4"/>
  <c r="B937" i="4"/>
  <c r="B938" i="4"/>
  <c r="B939" i="4"/>
  <c r="B940" i="4"/>
  <c r="B941" i="4"/>
  <c r="B942" i="4"/>
  <c r="B944" i="4"/>
  <c r="B945" i="4"/>
  <c r="B946" i="4"/>
  <c r="B947" i="4"/>
  <c r="B948" i="4"/>
  <c r="B950" i="4"/>
  <c r="B951" i="4"/>
  <c r="B952" i="4"/>
  <c r="B953" i="4"/>
  <c r="B954" i="4"/>
  <c r="B955" i="4"/>
  <c r="B956" i="4"/>
  <c r="B957" i="4"/>
  <c r="B958" i="4"/>
  <c r="B960" i="4"/>
  <c r="B961" i="4"/>
  <c r="B962" i="4"/>
  <c r="B963" i="4"/>
  <c r="B964" i="4"/>
  <c r="B966" i="4"/>
  <c r="B967" i="4"/>
  <c r="B968" i="4"/>
  <c r="B969" i="4"/>
  <c r="B970" i="4"/>
  <c r="B971" i="4"/>
  <c r="B972" i="4"/>
  <c r="B973" i="4"/>
  <c r="B974" i="4"/>
  <c r="B976" i="4"/>
  <c r="B977" i="4"/>
  <c r="B978" i="4"/>
  <c r="B979" i="4"/>
  <c r="B980" i="4"/>
  <c r="B982" i="4"/>
  <c r="B983" i="4"/>
  <c r="B34" i="4"/>
  <c r="B35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984" i="4"/>
  <c r="B985" i="4"/>
  <c r="F24" i="4"/>
  <c r="F23" i="4"/>
  <c r="F21" i="4"/>
  <c r="F20" i="4"/>
  <c r="F13" i="4"/>
  <c r="F12" i="4"/>
  <c r="F11" i="4"/>
  <c r="B6" i="4" l="1"/>
  <c r="B33" i="4"/>
  <c r="B5" i="4"/>
  <c r="B4" i="4"/>
  <c r="F9" i="4" l="1"/>
  <c r="B9" i="4"/>
  <c r="G24" i="4"/>
  <c r="G23" i="4"/>
  <c r="G22" i="4"/>
  <c r="G21" i="4"/>
  <c r="G20" i="4"/>
  <c r="G13" i="4" l="1"/>
  <c r="G12" i="4"/>
  <c r="G11" i="4"/>
  <c r="B3" i="4" l="1"/>
  <c r="B7" i="4"/>
</calcChain>
</file>

<file path=xl/comments1.xml><?xml version="1.0" encoding="utf-8"?>
<comments xmlns="http://schemas.openxmlformats.org/spreadsheetml/2006/main">
  <authors>
    <author>Author</author>
  </authors>
  <commentList>
    <comment ref="D11" authorId="0" shapeId="0">
      <text>
        <r>
          <rPr>
            <b/>
            <sz val="9"/>
            <color indexed="81"/>
            <rFont val="Tahoma"/>
            <family val="2"/>
          </rPr>
          <t xml:space="preserve">First execution result
</t>
        </r>
      </text>
    </comment>
    <comment ref="E11" authorId="0" shapeId="0">
      <text>
        <r>
          <rPr>
            <b/>
            <sz val="9"/>
            <color indexed="81"/>
            <rFont val="Tahoma"/>
            <family val="2"/>
          </rPr>
          <t>First Execution Time</t>
        </r>
      </text>
    </comment>
    <comment ref="F11" authorId="0" shapeId="0">
      <text>
        <r>
          <rPr>
            <b/>
            <sz val="9"/>
            <color indexed="81"/>
            <rFont val="Tahoma"/>
            <family val="2"/>
          </rPr>
          <t>Encountered Problem Type for First Time Auto Failed</t>
        </r>
      </text>
    </comment>
    <comment ref="G11" authorId="0" shapeId="0">
      <text>
        <r>
          <rPr>
            <b/>
            <sz val="9"/>
            <color indexed="81"/>
            <rFont val="Tahoma"/>
            <family val="2"/>
          </rPr>
          <t xml:space="preserve">Analysis Time of Failed case
</t>
        </r>
      </text>
    </comment>
    <comment ref="H11" authorId="0" shapeId="0">
      <text>
        <r>
          <rPr>
            <b/>
            <sz val="9"/>
            <color indexed="81"/>
            <rFont val="Tahoma"/>
            <family val="2"/>
          </rPr>
          <t xml:space="preserve">Re-Execution time of failed case
Note: Re-Execution time (H) &gt;= Execution Time (K)
 </t>
        </r>
      </text>
    </comment>
    <comment ref="I11" authorId="0" shapeId="0">
      <text>
        <r>
          <rPr>
            <b/>
            <sz val="9"/>
            <color indexed="81"/>
            <rFont val="Tahoma"/>
            <family val="2"/>
          </rPr>
          <t xml:space="preserve">Comments for first time execution
</t>
        </r>
      </text>
    </comment>
    <comment ref="K11" authorId="0" shapeId="0">
      <text>
        <r>
          <rPr>
            <b/>
            <sz val="9"/>
            <color indexed="81"/>
            <rFont val="Tahoma"/>
            <family val="2"/>
          </rPr>
          <t xml:space="preserve">As ideal time for run script
</t>
        </r>
      </text>
    </comment>
  </commentList>
</comments>
</file>

<file path=xl/sharedStrings.xml><?xml version="1.0" encoding="utf-8"?>
<sst xmlns="http://schemas.openxmlformats.org/spreadsheetml/2006/main" count="892" uniqueCount="394">
  <si>
    <t>Manual Result</t>
    <phoneticPr fontId="0" type="noConversion"/>
  </si>
  <si>
    <t>Issue Type</t>
    <phoneticPr fontId="0" type="noConversion"/>
  </si>
  <si>
    <t>BPT Name</t>
  </si>
  <si>
    <t>Issue Type</t>
  </si>
  <si>
    <t> Description</t>
  </si>
  <si>
    <t> To Do Item</t>
  </si>
  <si>
    <t>App Issue</t>
  </si>
  <si>
    <t>The bug in application</t>
  </si>
  <si>
    <t>Provide the CR ID and summary</t>
  </si>
  <si>
    <t>Test Case Issue</t>
  </si>
  <si>
    <t>The test flow has been changed, but scripts has not been updated</t>
  </si>
  <si>
    <t>Performance Issue</t>
  </si>
  <si>
    <t>The performance issue make application slow/ shutdown</t>
  </si>
  <si>
    <t>Scripts Issue</t>
  </si>
  <si>
    <t>Script does not work/not as expectation business flow</t>
  </si>
  <si>
    <t>Data Issue</t>
  </si>
  <si>
    <t>Data is not ready for testing in “test data driver”/App</t>
  </si>
  <si>
    <t>1. Provide the summary about what flow is changed and related ERS or requirement
2. Re-run and provide the manual test result</t>
  </si>
  <si>
    <t>1. Provide the root cause of the issue
2. Re-run and provide the manual test result</t>
  </si>
  <si>
    <t>1. Re-run and provide the manual test result if AT else has other issue
2. Try to capture the performance issue if it does</t>
  </si>
  <si>
    <t>1. Re-configure the data in testing in “test data driver” or App
2. Re-run and provide the manual test result if AT else has other issue</t>
  </si>
  <si>
    <t>Remark</t>
  </si>
  <si>
    <t>Owner</t>
  </si>
  <si>
    <t>MMCS_Add_And_Provision_Storage</t>
  </si>
  <si>
    <t>Rex</t>
  </si>
  <si>
    <t>ClientPhysical_SglRes_CusOS_Linux_SglStorage_SwapSize</t>
  </si>
  <si>
    <t>ClientPhysical_SglRes_CusOS_Win_NonSwapSize</t>
  </si>
  <si>
    <t>Linus</t>
  </si>
  <si>
    <t>ClientPhysical_MultiRes_CusOSLinuxAndWin_MultiStorage</t>
  </si>
  <si>
    <t>ClientPhysical_SglRes_HPOS_Win_NonSwapSize</t>
  </si>
  <si>
    <t>AllocateFunds_And_SubmitOrder_From_ShoppingCart</t>
  </si>
  <si>
    <t>Order_Service_verify_CR_is_not_sufficient</t>
  </si>
  <si>
    <t>Reservation_Terminate_ErrorMessage</t>
  </si>
  <si>
    <t>Check_Po_CR_Detail_Info</t>
  </si>
  <si>
    <t>Linux_Physical_HP_Managed_Server_Provision</t>
  </si>
  <si>
    <t>Windows_Client_Managed_Physical_Server_Provision</t>
  </si>
  <si>
    <t>Windows_Physical_HP_Managed_Server_Provision</t>
  </si>
  <si>
    <t>FW_1to1Nating_ManagedServer</t>
  </si>
  <si>
    <t>FW_1to1Nating_UnmanagedServer</t>
  </si>
  <si>
    <t>FW_FirewallManagerRoleEntitlement</t>
  </si>
  <si>
    <t>this information is copy from ..\AT SourceCode\Docs\BPT Owner.xls</t>
  </si>
  <si>
    <t>View_Dashboard</t>
  </si>
  <si>
    <t>View_Gloabal_vars</t>
  </si>
  <si>
    <t>ECS-053b-ManageMyFirewallPageCheck</t>
  </si>
  <si>
    <t>Create_LB_And_Provisioning</t>
  </si>
  <si>
    <t>Create_LBPool_And_Provisioning</t>
  </si>
  <si>
    <t>Create_LBVIP_And_Provisioning</t>
  </si>
  <si>
    <t>Order_Service_Check_StartDate_ErrMsg_Contract_Related</t>
  </si>
  <si>
    <t>Cost Time(Min)</t>
  </si>
  <si>
    <t>Add_BUR_from_MMCS</t>
  </si>
  <si>
    <t>Order_Service_Verify_the_Content_of_CR</t>
  </si>
  <si>
    <t>OrderServiceVerifyErrorMessageWhenOperateExtendTheReservation</t>
  </si>
  <si>
    <t>ReconfigPool_From_ShoppingCart_And_Provision</t>
  </si>
  <si>
    <t>ReconfigVIP_From_ShoppingCart_And_Provision</t>
  </si>
  <si>
    <t>ValidateOnlyParentCIsDisplayedinBillingReport</t>
  </si>
  <si>
    <t>FW_RequestACLRules_ExistingCheck</t>
  </si>
  <si>
    <t>Module Name</t>
  </si>
  <si>
    <t>Order</t>
  </si>
  <si>
    <t>VLAN</t>
  </si>
  <si>
    <t>FW</t>
  </si>
  <si>
    <t>Login</t>
  </si>
  <si>
    <t>Global Vars</t>
  </si>
  <si>
    <t>User Managerment</t>
  </si>
  <si>
    <t>LB</t>
  </si>
  <si>
    <t>BUR</t>
  </si>
  <si>
    <t>OrderServiceVerifyThePriceWhetherIsConsistentInShoppingCart</t>
  </si>
  <si>
    <t>Module</t>
  </si>
  <si>
    <t>ReconfigPool_From_Mng_And_Provision</t>
  </si>
  <si>
    <t>ReconfigVIP_From_Mng_And_Provision</t>
  </si>
  <si>
    <t>Extend_LB_Service</t>
  </si>
  <si>
    <t>External_CheckErrorMessage_QuantityIsUnavailableWhileOrderService</t>
  </si>
  <si>
    <t>External_CheckErrorMessage_StartDateOfOrderIsEarlierThanServerResourceStartDate</t>
  </si>
  <si>
    <t>Internal_CheckErrorMessage_StartDateOfReservationIsEarlierThanServerResourceStartDate</t>
  </si>
  <si>
    <t>OrderServiceVerifyThePriceOfReservation</t>
  </si>
  <si>
    <t>LB_Remove_Pool_linked_VIP</t>
  </si>
  <si>
    <t>LB_Remove_VIP</t>
  </si>
  <si>
    <t>ECS-VPC Automation Testing Report</t>
  </si>
  <si>
    <t>TOTAL CASE NUMBER</t>
  </si>
  <si>
    <t>PASSED CASE</t>
  </si>
  <si>
    <t>FAILED CASE</t>
  </si>
  <si>
    <t>WARNING CASE</t>
  </si>
  <si>
    <t>AUTO PASS RATE</t>
  </si>
  <si>
    <t>MANUAL PASS RATE</t>
  </si>
  <si>
    <t>TIME CONSUME(MIN)</t>
  </si>
  <si>
    <t>AT Case Name</t>
  </si>
  <si>
    <r>
      <rPr>
        <b/>
        <sz val="10"/>
        <color rgb="FF0070C0"/>
        <rFont val="Calibri"/>
        <family val="2"/>
        <scheme val="minor"/>
      </rPr>
      <t>Issue type definition:</t>
    </r>
    <r>
      <rPr>
        <sz val="10"/>
        <color rgb="FF0070C0"/>
        <rFont val="Calibri"/>
        <family val="2"/>
        <scheme val="minor"/>
      </rPr>
      <t xml:space="preserve">
1.App Issue: The bug in application.
2.Test Case Issue: The test flow has been changed, but scripts has not been updated.
3.Performance Issue: The performance issue make application slow/ shutdown.
4.Scripts Issue: Script does not work/not as expectation business flow.
5.Data Issue: Data is not ready for testing in “test data driver”/App.</t>
    </r>
  </si>
  <si>
    <t>EXECUTION DATE</t>
  </si>
  <si>
    <t>EXECUTION ENVIROMENT</t>
  </si>
  <si>
    <t>HPSA_Configure_Software_Attributes</t>
  </si>
  <si>
    <t>MV-007_Extending a VLAN</t>
  </si>
  <si>
    <t>Change Catalog Filter Criteria - External Portal</t>
  </si>
  <si>
    <t>Change Catalog Filter Criteria - Internal Portal</t>
  </si>
  <si>
    <t>10.2 Validate inactive Cis are removed from Cis customer can order pane</t>
  </si>
  <si>
    <t>AddVMDKStoragetoOneorTwoofExistedHAVM</t>
  </si>
  <si>
    <t>Provision_a_New_HA_VM_HP_Managed</t>
  </si>
  <si>
    <t>Calculate_HA_Cluster_Capacity_After_ToBeApproved_And_Reject</t>
  </si>
  <si>
    <t>Calculate_HA_Cluster_Capacity_After_Submit</t>
  </si>
  <si>
    <t>Calculate_HA_Cluster_Capacity_After_AddSAN_And_Reject</t>
  </si>
  <si>
    <t>Order_HA_VM_VMDK_Storage_Backup_Service</t>
  </si>
  <si>
    <t>Manage Rate Card</t>
  </si>
  <si>
    <t>SAN</t>
  </si>
  <si>
    <t>Add_Backup_Service_to_HA_VM</t>
  </si>
  <si>
    <t>Add_VMDK_Storage_to_Existed_HA_VM_Extend</t>
  </si>
  <si>
    <t>Add_VMDK_Storage_to_Existed_HA_VM_Terminate</t>
  </si>
  <si>
    <t>Add Server to the Cart</t>
  </si>
  <si>
    <t>add VLAN order to the Cart</t>
  </si>
  <si>
    <t>Ada</t>
  </si>
  <si>
    <t>If user does not want to create new Cart then User will click on Cancel button of popup message</t>
  </si>
  <si>
    <t>Multi Data Center Support With Local Currencies</t>
  </si>
  <si>
    <t>ECS_755_HPAndClientOwnedOSLicenseReport</t>
  </si>
  <si>
    <t>once user click on the any Cart ID from the Shopping cart page that becomes Active</t>
  </si>
  <si>
    <t>When User tries to Add items from the different DC to an Active cart</t>
  </si>
  <si>
    <t>ECS1814_DC_displays_at_Shopping_Cart</t>
  </si>
  <si>
    <t>ECS_755_No_data_in_Report</t>
  </si>
  <si>
    <t>ECS_755_Service_Catalog_Check</t>
  </si>
  <si>
    <t>TC_007_Use_the_exchange_rate_to_deduct_funds_from_POs_or_Credits_Physical_Server</t>
  </si>
  <si>
    <t>ECS_053b_FW_All_In_One</t>
  </si>
  <si>
    <t>TC_025_Use_the_exchange_rate_to_deduct_funds_from_Pos_or_Credits_Internal_portal_Physical_server</t>
  </si>
  <si>
    <t>When some Items are deleted from a cart that cart becoming active</t>
  </si>
  <si>
    <t>ECS-053b-FW_RevertConfiguration</t>
  </si>
  <si>
    <t>11.3_Check_History_With_Add_Pricing_By_Manage_Rate_Card</t>
  </si>
  <si>
    <t>MV-006_Terminate a VLAN early</t>
  </si>
  <si>
    <t>11.5_Check_History_With_Edit_Pricing_By_Manage_Rate_Card</t>
  </si>
  <si>
    <t>Add_a_new_currency_to_Exchange_Rate_Table</t>
  </si>
  <si>
    <t>ECS1814_Billing_Details_Multi_Currencies_Update_exchange_rate</t>
  </si>
  <si>
    <t>ECS1814_Billing_Details_Summarizes_total_by_DC</t>
  </si>
  <si>
    <t>Check_FW_Manager_Permission</t>
  </si>
  <si>
    <t>Check_LB_Manager_Permission</t>
  </si>
  <si>
    <t>External_Login_And_UI_Check</t>
  </si>
  <si>
    <t>ECS-053b-FW_Add_Modify_Delete_CancelFirewallRules</t>
  </si>
  <si>
    <t>ECS-053b-FW_AddFWLocked_Add_Provision_Cancel_Signout</t>
  </si>
  <si>
    <t>ECS_133_145_Collapse_And_Filter_Reservations_RLIDS</t>
  </si>
  <si>
    <t>ECS-053b-FW_DeleteFWLocked_Delete_Provision_Cancel_Signout</t>
  </si>
  <si>
    <t>FW_IPConfigurationPageCheck</t>
  </si>
  <si>
    <t>ECS-053b-FW_ModifyFWLocked_Modify_Provision_Cancel_Signout</t>
  </si>
  <si>
    <t>Vivi</t>
  </si>
  <si>
    <t>Order_Service_Extend_And_Split</t>
  </si>
  <si>
    <t>Order_Service_StartDate_Verification</t>
  </si>
  <si>
    <t>Base_Billing_Past_And_within_Grace_And_WithninPeak</t>
  </si>
  <si>
    <t>Validate_CancelCI_ConfirmedCI_In_Billing_Report</t>
  </si>
  <si>
    <t>HPSA_Software_Entitle_Orchestration_Task_Verify</t>
  </si>
  <si>
    <t>ECS1814_CostReport_Verifications</t>
  </si>
  <si>
    <t>ECS1814_BillingReport_Verifications</t>
  </si>
  <si>
    <t>Client_Managed_Server_BUR_UI_Verify</t>
  </si>
  <si>
    <t>HP_Managed_Server_BUR_UI_Verify</t>
  </si>
  <si>
    <t>HPSA</t>
  </si>
  <si>
    <t>Reservation_tracking_Approval</t>
  </si>
  <si>
    <t>Reservation_tracking_Disapproval</t>
  </si>
  <si>
    <t>ClientPhysical_SglRes_HPOS_Linux_SglStorage_SwapSize</t>
  </si>
  <si>
    <t>Order_Service_verify_the_balance_price_of_CR</t>
  </si>
  <si>
    <t>IP_Address_Assignment_Check_internal_Page</t>
  </si>
  <si>
    <t>Order_service_Insufficient_Balance</t>
  </si>
  <si>
    <t>OrderServiceCreateTheExternalUserForCustomerInExternalPortal</t>
  </si>
  <si>
    <t>ShoppingCart_02</t>
  </si>
  <si>
    <t>Check_POs_not_sufficient</t>
  </si>
  <si>
    <t>ECS-053b-FW_ReorderRules</t>
  </si>
  <si>
    <t>Reservation_Tracking_01</t>
  </si>
  <si>
    <t>Extend_Customer_Contract</t>
  </si>
  <si>
    <t>Update_PO_and_Credits</t>
  </si>
  <si>
    <t>Non_Authority_Assign_Role</t>
  </si>
  <si>
    <t>Add_Data_Center</t>
  </si>
  <si>
    <t>BB_AddNewSANStorageToAnExistingServer</t>
  </si>
  <si>
    <t>ECS_133_145_Collapse_Dependent_RLIs_RFCU</t>
  </si>
  <si>
    <t>HA VM</t>
  </si>
  <si>
    <t>Inactivate Rate Card</t>
  </si>
  <si>
    <t>Whatever cart the items are added last is active</t>
  </si>
  <si>
    <t>Manage CIs on Rate Card</t>
  </si>
  <si>
    <t>Delete_Not_Used_Catalog_Items</t>
  </si>
  <si>
    <t>ECS_1814_Currencies_and_Exchange_Rates_Role_check</t>
  </si>
  <si>
    <t>Update one-time price on CI on existing rate card</t>
  </si>
  <si>
    <t>ECS-1711a_Server Configuration_Check Password_Commercial</t>
  </si>
  <si>
    <t>1.2.1 Validate New RLI will be generated for adding user account</t>
  </si>
  <si>
    <t>Ext_CheckRSCQuantityFromSubmitToReject</t>
  </si>
  <si>
    <t>Int_CheckUnavailableRSCFromCreateQuoteToSaveReservation</t>
  </si>
  <si>
    <t>Int_CheckAvailabilityFeature</t>
  </si>
  <si>
    <t>Int_CheckRSCQuantityFromCreateQuoteToCancelReservation</t>
  </si>
  <si>
    <t>Deprovision_VMDK_Storage_Check</t>
  </si>
  <si>
    <t>AddAndRemoveSANFromExistingServer</t>
  </si>
  <si>
    <t>RemoveAllBURItemsFromExistingServer</t>
  </si>
  <si>
    <t>AddRateCard</t>
  </si>
  <si>
    <t>CheckCatalogItemHistoryUI</t>
  </si>
  <si>
    <t>M_Validate_CatalogItem_Add_Update_AssociateMRT_AssignCustomer_and_Displayed_in_EXT</t>
  </si>
  <si>
    <t>Validate_Vlan_Type_and_Add_Vlan_Function</t>
  </si>
  <si>
    <t>Validate_VLAN_CheckPoints_In_ManageDeploy</t>
  </si>
  <si>
    <t>Add_delegate_and_user_with_same_email</t>
  </si>
  <si>
    <t>ECS1735_provision Cluster Service catalog item reservation</t>
  </si>
  <si>
    <t>ECS1735_order server CI and toolbox services CI together</t>
  </si>
  <si>
    <t>ECS1735_Extend_and_Terminate_Cluster_Service_CI_Reservation</t>
  </si>
  <si>
    <t>ECS1735_deprovision Cluster Service catalog item reservation</t>
  </si>
  <si>
    <t>ECS1814_Terminate_Fund_Verification</t>
  </si>
  <si>
    <t>ECS1814_Japanese_Currency_decimals_check</t>
  </si>
  <si>
    <t>ECS1814_CurrencySymbolInAddBURStoragePage</t>
  </si>
  <si>
    <t>ECS-054c-FW_AddPublicIPBock_AddAndUpdateVlanCheck</t>
  </si>
  <si>
    <t>ECS-054c-FW_CMALockCheck_ProvisionFromMCS</t>
  </si>
  <si>
    <t>ECS-054c-FW_ManageNAT_PageAndStatusCheck</t>
  </si>
  <si>
    <t>ECS-054c-FW_NATUnassociate_ServerDeprovision</t>
  </si>
  <si>
    <t>ECS-054c-FW_NetworkConfigurationPageCheck_ENUAndJPN</t>
  </si>
  <si>
    <t>ECS-054c-FW_SetNATFromExternal_MCS</t>
  </si>
  <si>
    <t>ECS-054c-FW_SetNATFromExternal_Order</t>
  </si>
  <si>
    <t>1.5.2_Check_Multiple_Server_User_Account_Added_To_Multiple_Same_Server_Removed</t>
  </si>
  <si>
    <t>Order_Switch_And_Provisioned</t>
  </si>
  <si>
    <t>ECS-002c_Provision_SAP_With_Physical_HPM_RHEL_Server</t>
  </si>
  <si>
    <t>ECS-002c_Provision_SAP_With_Virtual_HPM_Windows_Server</t>
  </si>
  <si>
    <t>Swaas_lock&amp;release Resource_approve</t>
  </si>
  <si>
    <t>Swaas_lock&amp;release Resource_allocated funds</t>
  </si>
  <si>
    <t>Encountered Problem Type</t>
    <phoneticPr fontId="0" type="noConversion"/>
  </si>
  <si>
    <r>
      <rPr>
        <b/>
        <sz val="10"/>
        <color rgb="FF0070C0"/>
        <rFont val="Times New Roman"/>
        <family val="1"/>
      </rPr>
      <t>Issue type definition:</t>
    </r>
    <r>
      <rPr>
        <sz val="10"/>
        <color rgb="FF0070C0"/>
        <rFont val="Times New Roman"/>
        <family val="1"/>
      </rPr>
      <t xml:space="preserve">
1.App Issue: The bug in application.
2.Test Case Issue: The test flow has been changed, but scripts has not been updated.
3.Performance Issue: The performance issue make application slow/ shutdown.
4.Scripts Issue: Script does not work/not as expectation business flow.
5.Data Issue: Data is not ready for testing in “test data driver”/App.</t>
    </r>
  </si>
  <si>
    <t>AT WARNING CASE</t>
    <phoneticPr fontId="9" type="noConversion"/>
  </si>
  <si>
    <t>AT RUN TIME CONSUME(MIN)</t>
    <phoneticPr fontId="9" type="noConversion"/>
  </si>
  <si>
    <t xml:space="preserve">AT ACTUAL TIME COST: </t>
    <phoneticPr fontId="9" type="noConversion"/>
  </si>
  <si>
    <t>Final Auto
Result</t>
    <phoneticPr fontId="0" type="noConversion"/>
  </si>
  <si>
    <t>EXECUTION ENVIROMENT</t>
    <phoneticPr fontId="9" type="noConversion"/>
  </si>
  <si>
    <t>FIRST TIME PASS CASE</t>
    <phoneticPr fontId="9" type="noConversion"/>
  </si>
  <si>
    <t>FISRT TIME AUTO PASS RATE</t>
    <phoneticPr fontId="9" type="noConversion"/>
  </si>
  <si>
    <t>TOTAL RE-EXECUTION TIME(Min)</t>
    <phoneticPr fontId="9" type="noConversion"/>
  </si>
  <si>
    <t>TOTAL ANALYSIS TIME(Min)</t>
    <phoneticPr fontId="9" type="noConversion"/>
  </si>
  <si>
    <t>First Time Auto Result</t>
    <phoneticPr fontId="0" type="noConversion"/>
  </si>
  <si>
    <t>AT ACTUAL COST TIME(Min)</t>
  </si>
  <si>
    <t xml:space="preserve">AT RUN TIME COST on Server: </t>
  </si>
  <si>
    <t>ECS-1956_BUR UI Enhancement_Remove BUR Service_Order Process</t>
  </si>
  <si>
    <t>ECS-1956_BUR UI Enhancement_Remove BUR service_Add BUR Process</t>
  </si>
  <si>
    <t>ECS_133_145_Collapse Dependent RLIs_RLIDS</t>
  </si>
  <si>
    <t>ECS_133_145_UTC_Time_Zone_Dashboard</t>
  </si>
  <si>
    <t>ECS-054c-FW_ManageNAT_VLANProvisionAndDeprovision</t>
  </si>
  <si>
    <t>ECS-054c-FW_NAT_ProvisioningFailed_FromMNAT</t>
  </si>
  <si>
    <t>ECS-054c-FW_NAT_ProvisioningFailed_FromMCS</t>
  </si>
  <si>
    <t>ECS-054c-FW_SetNATFromInternal_MNAT</t>
  </si>
  <si>
    <t>05 - EP - Documentation Center - Download document - ECS Specific Documents</t>
  </si>
  <si>
    <t>CheckLinksWork</t>
  </si>
  <si>
    <t>System Configuration</t>
  </si>
  <si>
    <t>9.3_Check_Delete_Checkbox_Availability_Of_Catalog_Item</t>
  </si>
  <si>
    <t>9.6_Delete_And_Acitve_or_Inactive_Catalog_Item_simultaneously</t>
  </si>
  <si>
    <t>14.3 Remove CI off Rate card for certain datacentre</t>
  </si>
  <si>
    <t>15.1 Validate Pricing change only impacts new orders</t>
  </si>
  <si>
    <t>Calculate_HA_Cluster_Capacity_After_Deprovision</t>
  </si>
  <si>
    <t>DeprovisionHAVM</t>
  </si>
  <si>
    <t>OrderHAVM_VMDKStorage_Split</t>
  </si>
  <si>
    <t>Remove_Multiple_VMDK_storage_for_HA_VM_One_By_One</t>
  </si>
  <si>
    <t>ECS2024a-SAP HANA-order and provision</t>
  </si>
  <si>
    <t>ExternalMenuLinkVerify</t>
  </si>
  <si>
    <t>ECS1814_Terminate_HA_server_Ex</t>
  </si>
  <si>
    <t>ManageNotificationsStatus</t>
  </si>
  <si>
    <t>ECS-053b-FW_AddCMA</t>
  </si>
  <si>
    <t>ECS_002c_Framework_View_Update_Options_Check</t>
  </si>
  <si>
    <t>ECS_002c_Framework_Resource_Entitlements_Check</t>
  </si>
  <si>
    <t>ECS_002c_Framework_Associate_Options_Check</t>
  </si>
  <si>
    <t>ECS_133_145_Sort_Reservations_In_RLIDS_Screen</t>
  </si>
  <si>
    <t>TC_002_Create_New_Rate</t>
  </si>
  <si>
    <t>ECS_134_Task_CM_Check_Flag_TRUE</t>
  </si>
  <si>
    <t>MV_005_Changes_for_extending_a_server_in_multiple_VLAN_environment</t>
  </si>
  <si>
    <t>ECS2024a-SAP HANA-billing report check</t>
  </si>
  <si>
    <t>ECS2024a-SAP HANA-extend</t>
  </si>
  <si>
    <t>ECS2024a-SAP HANA-terminate early</t>
  </si>
  <si>
    <t>ECS-002c_Order_SAP_Reject</t>
  </si>
  <si>
    <t>ECS-002c_Order_SAP_With_Virtual_HPM_Windows_Server_in_Billing_Report_Check</t>
  </si>
  <si>
    <t>ECS-002c_Order_SAP_With_Virtual_HPM_Windows_Server_in_Cost_Report_Check</t>
  </si>
  <si>
    <t>Split_HA_VM_Storage_Attached</t>
  </si>
  <si>
    <t>ECS_054c_FW_ManageNAT_ServerStatus</t>
  </si>
  <si>
    <t>Provision_Multiple_HA_VM_Cross_Cluster</t>
  </si>
  <si>
    <t>ECS_054c_FW_ManageNAT_IPDeletedAuto_ServerDeleteAndCancel</t>
  </si>
  <si>
    <t>ECS_002_Framework_Check_Resource_Entitlements_Enhancement_SQL_Server</t>
  </si>
  <si>
    <t>ECS-002_Order_SQL Server 2012 Ent Ed With_Virtual_HPM_Windows_Server</t>
  </si>
  <si>
    <t>ECS-002_Extend_SQL Server 2012 Ent Ed With_Virtual_HPM_Windows_Server</t>
  </si>
  <si>
    <t>ECS-002_Terminate_SQL Server 2012 Ent Ed With_Virtual_HPM_Windows_Server</t>
  </si>
  <si>
    <t>ECS-002_Extend_Oracle Enterprise Edition – 11.2.0.3 With_HP-Managed Physical Server running RHEL6 OS</t>
  </si>
  <si>
    <t>ECS-002_Terminate_Oracle Enterprise Edition – 11.2.0.3 With_HP-Managed Physical Server running RHEL6 OS</t>
  </si>
  <si>
    <t>ECS-002_Order_Oracle Enterprise Edition – 11.2.0.3 With_HPM_CI_in_Cost_Report_Check</t>
  </si>
  <si>
    <t>ECS-002_Order_Oracle Enterprise Edition – 11.2.0.3 With_HP-Managed Physical Server running RHEL6 OS</t>
  </si>
  <si>
    <t>ECS-002_Order_Oracle Enterprise Edition – 11.2.0.3 With_HPM_CI_in_Billing_Report_Check</t>
  </si>
  <si>
    <t>ECS-2092_Report - QRS system stores history of role assignment</t>
  </si>
  <si>
    <t>ECS-2092_Report - User exports User Access Assignment History</t>
  </si>
  <si>
    <t>ECS-2092_Report - User views and exports user report by role</t>
  </si>
  <si>
    <t>ECS-2092_Report - User exports User Current Access Report</t>
  </si>
  <si>
    <t>ECS-2137_RBAC_Check NETWORK MANAGER Role_VLAN_NAT_For_Four Cases</t>
  </si>
  <si>
    <t>Update_Existing Customer information</t>
  </si>
  <si>
    <t>ECS2218_JBoss_Provisioning_and_Monitoring_HPM_Physical_Suse_Server</t>
  </si>
  <si>
    <t>ECS2218_JBoss_Provisioning_and_Monitoring_HPM_Virtual_Redhat_Server</t>
  </si>
  <si>
    <t>ECS001a_Apache_Provisioning_HPM_Physical_Suse_Server</t>
  </si>
  <si>
    <t>ECS001a_Apache_Provisioning_HPM_Virtual_Redhat_Server</t>
  </si>
  <si>
    <t>ECS2218_JBoss_Provisioning_and_Monitoring_HPM_Physical_Redhat_Server</t>
  </si>
  <si>
    <t>ECS2218_JBoss_Provisioning_and_Monitoring_HPM_Virtual_Suse_Server</t>
  </si>
  <si>
    <t>Vince</t>
  </si>
  <si>
    <t>DSP2083_RAC_Order_Oracle_RAC_Service_Two_node</t>
  </si>
  <si>
    <t>DSP2083_RAC_Configure_Cluster_Options_And_Configure_License</t>
  </si>
  <si>
    <t>ECS2083_BUR_Order_Oracle_RAC_Service_with_BUR_And_Deprovision</t>
  </si>
  <si>
    <t>DSP2083_RAC_Delivery_Instructions_Validation</t>
  </si>
  <si>
    <t>DSP2083_RAC_Delivery_ClusterIP_OptionSwitch_validation</t>
  </si>
  <si>
    <t>ECS_2086_SQL_Server_Host_Server_Filter_KeyWordSearching_InstanceName_Verify</t>
  </si>
  <si>
    <t>ECS_2086_SQL_Server_Framework_Check_Resource_Entitlements_Physical_HPM_Windows_Server</t>
  </si>
  <si>
    <t>Resource_Entitlement_Management_Page_ProvisioningSequence_ResourceEntitlement</t>
  </si>
  <si>
    <t>Oracel RAC Service</t>
  </si>
  <si>
    <t>SQL Server</t>
  </si>
  <si>
    <t>Data Configuration</t>
  </si>
  <si>
    <t>CD-013_Revoke_delegate_as_approver</t>
  </si>
  <si>
    <t>ECS_002c_Framework_Manage_Catalog_Items_Options_Check</t>
  </si>
  <si>
    <t>ECS_002c_Framework_View_Update_Inventory_Check</t>
  </si>
  <si>
    <t>ECS-1956a_BUR_DB_UI Enhancement_HPM Linux Server_Order Process</t>
  </si>
  <si>
    <t>ECS-1956a_BUR_DB_UI Enhancement_HPM Window Server_Order Process</t>
  </si>
  <si>
    <t>ECS-1956a_BUR_DB_UI Enhancement_HPM Window Server_Add Process</t>
  </si>
  <si>
    <t>ECS-1956a_BUR_DB_UI Enhancement_HPM Linux Server_Add Process</t>
  </si>
  <si>
    <t>Add_and_Update_Device</t>
  </si>
  <si>
    <t>ECS001a_Apache_Provisioning_HPM_Physical_Redhat_Server</t>
  </si>
  <si>
    <t>ECS001a_Apache_Provisioning_HPM_Virtual_Suse_Server</t>
  </si>
  <si>
    <t>ECS-002_Order_SQL Server 2012 Ent Ed With_Virtual_HPM_Windows_Server_in_Billing_Report_Check</t>
  </si>
  <si>
    <t>ECS-053b_FW_AddvFWInstance</t>
  </si>
  <si>
    <t>01_02_04_External_Portal_Dashboard_SystemReports_AvailabilityReports</t>
  </si>
  <si>
    <t>06 - EP - Documentation Center - Download document - Customer Specific Documents</t>
  </si>
  <si>
    <t>TC 021 Use the exchange rate to deduct funds from POs or Credits. - Detach storage with spilt RLI</t>
  </si>
  <si>
    <t>Add HPSA resource</t>
  </si>
  <si>
    <t>Add_Software_Resource_and_Update_Application_Attributes_Configuration</t>
  </si>
  <si>
    <t>HA(High Availability) Storage</t>
  </si>
  <si>
    <t>Switch as a service</t>
  </si>
  <si>
    <t>SAP HANA</t>
  </si>
  <si>
    <t>User Account</t>
  </si>
  <si>
    <t>Billing Report</t>
  </si>
  <si>
    <t>Customer</t>
  </si>
  <si>
    <t>Internal Dashboard</t>
  </si>
  <si>
    <t>Device</t>
  </si>
  <si>
    <t>Cluster Service</t>
  </si>
  <si>
    <t>SAP</t>
  </si>
  <si>
    <t>Currencies</t>
  </si>
  <si>
    <t>Apache Web Service</t>
  </si>
  <si>
    <t>Oracle</t>
  </si>
  <si>
    <t>On-Demand Report</t>
  </si>
  <si>
    <t>JBoss Application Server</t>
  </si>
  <si>
    <t>External Link Verify</t>
  </si>
  <si>
    <t>Integration_And_Reporting</t>
  </si>
  <si>
    <t>Manage Notifications Status</t>
  </si>
  <si>
    <t>Add Resource</t>
  </si>
  <si>
    <t>Role</t>
  </si>
  <si>
    <t>Mutiple Data Center</t>
  </si>
  <si>
    <t>Data Center</t>
  </si>
  <si>
    <t>Catalog Items</t>
    <phoneticPr fontId="28" type="noConversion"/>
  </si>
  <si>
    <t>ECS002_Order_SQLServer2012_EntEdWith_Virtual_HPM_Windows_Server_in_Cost_Report_Check</t>
  </si>
  <si>
    <t>DSP2083_RAC_Order_Oracle_RAC_Service_Three_node</t>
  </si>
  <si>
    <t>QRS Integration with Storage Portlet_Order Physical Server</t>
    <phoneticPr fontId="9" type="noConversion"/>
  </si>
  <si>
    <t>Rex</t>
    <phoneticPr fontId="9" type="noConversion"/>
  </si>
  <si>
    <t>QRS Integration with Storage Portlet</t>
    <phoneticPr fontId="9" type="noConversion"/>
  </si>
  <si>
    <t>Validate_VLAN_Provision_And_Other_CheckPoints</t>
    <phoneticPr fontId="9" type="noConversion"/>
  </si>
  <si>
    <t>QRS Integration with Storage Portlet_Approve for Cleanup_Physical Server</t>
  </si>
  <si>
    <t>QRS Integration with Storage Portlet_Approve for Cleanup_Virtual Server</t>
    <phoneticPr fontId="9" type="noConversion"/>
  </si>
  <si>
    <t>Rex</t>
    <phoneticPr fontId="9" type="noConversion"/>
  </si>
  <si>
    <t>QRS Integration with Storage Portlet_Physical Server_Add Storage_Both 3PAR Storage and EVA Storage</t>
    <phoneticPr fontId="9" type="noConversion"/>
  </si>
  <si>
    <t>QRS_Integration_with_StoragePortlet_SAN_Storage_Page_AddStorage_E2E</t>
  </si>
  <si>
    <t>QRS_Integration_with_Portlet_SAN_Page_View</t>
  </si>
  <si>
    <t>QRS Integration with Storage Portlet_Physical Storage_Rename</t>
  </si>
  <si>
    <t>Rex</t>
    <phoneticPr fontId="9" type="noConversion"/>
  </si>
  <si>
    <t>Storage Portlet_Physical Storage_Detach_Delete</t>
    <phoneticPr fontId="9" type="noConversion"/>
  </si>
  <si>
    <t>Storage Portlet_Physical Storage_Status_Add_Attach</t>
    <phoneticPr fontId="9" type="noConversion"/>
  </si>
  <si>
    <t>Storage Portlet_Physical Storage_Status_Update</t>
    <phoneticPr fontId="9" type="noConversion"/>
  </si>
  <si>
    <t>NEO Storage</t>
    <phoneticPr fontId="9" type="noConversion"/>
  </si>
  <si>
    <t>Storage_Portlet_Physical_Storage_Loading_Icon</t>
  </si>
  <si>
    <t>Storage_Portlet_Physical_Storage_Catalog_Item_And_Cancel</t>
  </si>
  <si>
    <t>Storage_Portlet_Physical_Storage_Create_Multiple_Physical_Storage</t>
  </si>
  <si>
    <t>Storage_Portlet_Physical_Storage_Decreased</t>
  </si>
  <si>
    <t>Storage Portlet_Physical Storage_Cancel Deleting Fail_APIFault</t>
  </si>
  <si>
    <t>NEO Storage</t>
  </si>
  <si>
    <t>SUITE_NAME</t>
  </si>
  <si>
    <t>QRSPortalGoldenATSuite</t>
  </si>
  <si>
    <t>TEST_PKG_NAME</t>
  </si>
  <si>
    <t>com.hp.vpc.tests</t>
  </si>
  <si>
    <t>TEST_CLASS_NAME</t>
  </si>
  <si>
    <t>QRSPortalGoldenAT</t>
  </si>
  <si>
    <t>Property Name</t>
  </si>
  <si>
    <t>Value</t>
  </si>
  <si>
    <t>UTC+08:00</t>
  </si>
  <si>
    <t>TIMEZONE (UTC+hh:mm)</t>
  </si>
  <si>
    <t>AT EXPECTED COST TIME(Min)</t>
    <phoneticPr fontId="9" type="noConversion"/>
  </si>
  <si>
    <t>First Time Cost Time(Min)</t>
    <phoneticPr fontId="9" type="noConversion"/>
  </si>
  <si>
    <t>Analysis Time(Min)</t>
    <phoneticPr fontId="9" type="noConversion"/>
  </si>
  <si>
    <t>Re-Execution Time(Min)</t>
    <phoneticPr fontId="9" type="noConversion"/>
  </si>
  <si>
    <t>Comments</t>
    <phoneticPr fontId="9" type="noConversion"/>
  </si>
  <si>
    <t>Final Auto Result</t>
    <phoneticPr fontId="9" type="noConversion"/>
  </si>
  <si>
    <t>Execution Time(Min)</t>
    <phoneticPr fontId="9" type="noConversion"/>
  </si>
  <si>
    <t>EXECUTION DATE (yyyy/MM/dd hh:mm:ss)</t>
  </si>
  <si>
    <t xml:space="preserve">This  page is used to save data of sheet "Summary" with Json format in a file, that can be uploaded to Test Dashboard. </t>
  </si>
  <si>
    <t>Test Dashboard API's URL</t>
  </si>
  <si>
    <t>Input the URL here.</t>
  </si>
  <si>
    <t>Upload the Json file to Dashboard</t>
  </si>
  <si>
    <t>NA_TC1284_FTR-15009-01_Network_Configuration_Change_Audit_Report_Service_View_Configuration_Change_Report_Page</t>
  </si>
  <si>
    <t>NA_TC986_NCChange Audit Report Service_View Report_Change FW Rule Sequence</t>
  </si>
  <si>
    <t>NA_TC1010_1065_NC Change Audit Report Service_View Report_Enable And Disable FW Rule</t>
  </si>
  <si>
    <t>NA_TC998_1180_1136_FTR-15009-01_AddUpdateDeleteNATPublicIPVerifyCCReport</t>
  </si>
  <si>
    <t>NA_TC941_862_NC Change Audit Report Service_View Report_Add and Update FW Rule</t>
  </si>
  <si>
    <t>NA_TC1158_FTR-15009-01_Network_Configuration_Change_Add_Private_FW_Rule</t>
  </si>
  <si>
    <t>NA_TC851_FTR-15009-01 Network Configuration Change Audit Report Service_View Report_Add PAT Rule</t>
  </si>
  <si>
    <t>NA_TC869_FTR-15009-01 Network Configuration Change Audit Report Service_View Report_Delete PAT Rule</t>
  </si>
  <si>
    <t>NA_TC1226_FTR-15009-01 Network Configuration Change Audit Report Service_View Report_Update PAT Rule</t>
  </si>
  <si>
    <t>NA_TC878_992_1102_FTR_15009-01_PrivateFWRuleChangeReport</t>
  </si>
  <si>
    <t>NA_TC1139_FTR-15009-01_Network_Configuration_Change_Update_Private_FW_Rule</t>
    <phoneticPr fontId="8" type="noConversion"/>
  </si>
  <si>
    <t>NA_TC1235_NC Change Audit Report Service_View Report_Modify Multiple FW RuleS</t>
  </si>
  <si>
    <t>Junjie</t>
  </si>
  <si>
    <t>Ada</t>
    <phoneticPr fontId="8" type="noConversion"/>
  </si>
  <si>
    <t>NA Portlet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</si>
</sst>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/mm/dd\ hh:mm:ss"/>
    <numFmt numFmtId="165" formatCode="0.00_ 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sz val="10"/>
      <name val="Arial"/>
      <family val="2"/>
    </font>
    <font>
      <sz val="9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color rgb="FF000000"/>
      <name val="Calibri"/>
      <family val="2"/>
    </font>
    <font>
      <sz val="9"/>
      <color theme="1"/>
      <name val="Arial"/>
      <family val="2"/>
    </font>
    <font>
      <sz val="9"/>
      <name val="Calibri"/>
      <family val="3"/>
      <charset val="134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2"/>
      <color rgb="FF0070C0"/>
      <name val="Calibri"/>
      <family val="2"/>
      <scheme val="minor"/>
    </font>
    <font>
      <sz val="10"/>
      <color rgb="FF0070C0"/>
      <name val="Calibri"/>
      <family val="2"/>
      <scheme val="minor"/>
    </font>
    <font>
      <b/>
      <sz val="10"/>
      <color rgb="FF0070C0"/>
      <name val="Calibri"/>
      <family val="2"/>
      <scheme val="minor"/>
    </font>
    <font>
      <b/>
      <sz val="10"/>
      <color theme="0" tint="-0.34998626667073579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34"/>
      <scheme val="minor"/>
    </font>
    <font>
      <u/>
      <sz val="11"/>
      <color theme="10"/>
      <name val="Calibri"/>
      <family val="2"/>
    </font>
    <font>
      <u/>
      <sz val="11"/>
      <color theme="10"/>
      <name val="Calibri"/>
      <family val="2"/>
      <scheme val="minor"/>
    </font>
    <font>
      <sz val="11"/>
      <name val="Times New Roman"/>
      <family val="1"/>
    </font>
    <font>
      <b/>
      <sz val="11"/>
      <color rgb="FFFF0000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3"/>
      <charset val="134"/>
      <scheme val="minor"/>
    </font>
    <font>
      <sz val="11"/>
      <name val="Calibri"/>
      <family val="3"/>
      <charset val="134"/>
      <scheme val="minor"/>
    </font>
    <font>
      <b/>
      <sz val="16"/>
      <color theme="0"/>
      <name val="Times New Roman"/>
      <family val="1"/>
    </font>
    <font>
      <b/>
      <sz val="11"/>
      <color theme="1"/>
      <name val="Times New Roman"/>
      <family val="1"/>
    </font>
    <font>
      <b/>
      <sz val="11"/>
      <name val="Times New Roman"/>
      <family val="1"/>
    </font>
    <font>
      <sz val="10"/>
      <color rgb="FF0070C0"/>
      <name val="Times New Roman"/>
      <family val="1"/>
    </font>
    <font>
      <b/>
      <sz val="10"/>
      <color rgb="FF0070C0"/>
      <name val="Times New Roman"/>
      <family val="1"/>
    </font>
    <font>
      <sz val="11"/>
      <color rgb="FFFF0000"/>
      <name val="Times New Roman"/>
      <family val="1"/>
    </font>
    <font>
      <b/>
      <sz val="9"/>
      <name val="Times New Roman"/>
      <family val="1"/>
    </font>
    <font>
      <sz val="9"/>
      <color theme="1"/>
      <name val="Times New Roman"/>
      <family val="1"/>
    </font>
    <font>
      <b/>
      <sz val="11"/>
      <color rgb="FF0070C0"/>
      <name val="Times New Roman"/>
      <family val="1"/>
    </font>
    <font>
      <b/>
      <sz val="11"/>
      <color rgb="FF000000"/>
      <name val="Calibri"/>
      <family val="2"/>
    </font>
    <font>
      <sz val="8"/>
      <color theme="1"/>
      <name val="Calibri"/>
      <family val="2"/>
    </font>
    <font>
      <b/>
      <sz val="8"/>
      <color theme="0"/>
      <name val="Calibri"/>
      <family val="2"/>
    </font>
    <font>
      <sz val="8"/>
      <color rgb="FFFF0000"/>
      <name val="Calibri"/>
      <family val="2"/>
    </font>
    <font>
      <sz val="8"/>
      <name val="Calibri"/>
      <family val="2"/>
    </font>
    <font>
      <sz val="8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7CE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F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47">
    <xf numFmtId="0" fontId="0" fillId="0" borderId="0"/>
    <xf numFmtId="0" fontId="3" fillId="0" borderId="0"/>
    <xf numFmtId="0" fontId="21" fillId="0" borderId="0"/>
    <xf numFmtId="0" fontId="22" fillId="0" borderId="0"/>
    <xf numFmtId="0" fontId="3" fillId="0" borderId="0"/>
    <xf numFmtId="0" fontId="21" fillId="0" borderId="0"/>
    <xf numFmtId="0" fontId="21" fillId="0" borderId="0"/>
    <xf numFmtId="0" fontId="24" fillId="0" borderId="0"/>
    <xf numFmtId="0" fontId="21" fillId="0" borderId="0"/>
    <xf numFmtId="0" fontId="21" fillId="0" borderId="0"/>
    <xf numFmtId="0" fontId="21" fillId="0" borderId="0"/>
    <xf numFmtId="0" fontId="25" fillId="0" borderId="0">
      <alignment vertical="center"/>
    </xf>
    <xf numFmtId="0" fontId="21" fillId="0" borderId="0"/>
    <xf numFmtId="0" fontId="23" fillId="7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6" fillId="0" borderId="0" applyNumberFormat="0" applyFill="0" applyBorder="0" applyAlignment="0" applyProtection="0">
      <alignment vertical="top"/>
      <protection locked="0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7" fillId="0" borderId="0" applyNumberFormat="0" applyFill="0" applyBorder="0" applyAlignment="0" applyProtection="0"/>
    <xf numFmtId="0" fontId="25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1" fillId="0" borderId="0"/>
  </cellStyleXfs>
  <cellXfs count="168">
    <xf numFmtId="0" fontId="0" fillId="0" borderId="0" xfId="0"/>
    <xf numFmtId="0" fontId="5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left" vertical="center" wrapText="1"/>
    </xf>
    <xf numFmtId="0" fontId="5" fillId="2" borderId="1" xfId="0" applyFont="1" applyFill="1" applyBorder="1" applyAlignment="1">
      <alignment horizontal="left" vertical="center"/>
    </xf>
    <xf numFmtId="0" fontId="6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left" vertical="center"/>
    </xf>
    <xf numFmtId="0" fontId="8" fillId="0" borderId="0" xfId="0" applyFont="1"/>
    <xf numFmtId="0" fontId="10" fillId="0" borderId="0" xfId="0" applyFont="1"/>
    <xf numFmtId="0" fontId="14" fillId="0" borderId="0" xfId="0" applyFont="1" applyBorder="1"/>
    <xf numFmtId="0" fontId="14" fillId="0" borderId="0" xfId="0" applyFont="1"/>
    <xf numFmtId="0" fontId="14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left" vertical="top"/>
    </xf>
    <xf numFmtId="0" fontId="14" fillId="0" borderId="3" xfId="0" applyFont="1" applyBorder="1" applyAlignment="1">
      <alignment horizontal="left" vertical="top"/>
    </xf>
    <xf numFmtId="0" fontId="16" fillId="5" borderId="1" xfId="0" applyFont="1" applyFill="1" applyBorder="1" applyAlignment="1">
      <alignment horizontal="center" vertical="center" wrapText="1"/>
    </xf>
    <xf numFmtId="0" fontId="17" fillId="0" borderId="0" xfId="0" applyFont="1"/>
    <xf numFmtId="0" fontId="16" fillId="5" borderId="6" xfId="0" applyFont="1" applyFill="1" applyBorder="1" applyAlignment="1">
      <alignment horizontal="center" vertical="center" wrapText="1"/>
    </xf>
    <xf numFmtId="0" fontId="8" fillId="0" borderId="6" xfId="0" applyFont="1" applyBorder="1"/>
    <xf numFmtId="0" fontId="14" fillId="0" borderId="6" xfId="0" applyFont="1" applyBorder="1"/>
    <xf numFmtId="0" fontId="8" fillId="0" borderId="0" xfId="0" applyFont="1" applyBorder="1"/>
    <xf numFmtId="0" fontId="20" fillId="0" borderId="0" xfId="0" applyFont="1" applyAlignment="1">
      <alignment horizontal="left" vertical="top" wrapText="1"/>
    </xf>
    <xf numFmtId="0" fontId="8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 wrapText="1"/>
    </xf>
    <xf numFmtId="0" fontId="4" fillId="0" borderId="3" xfId="0" applyFont="1" applyBorder="1" applyAlignment="1">
      <alignment horizontal="left" vertical="top" wrapText="1"/>
    </xf>
    <xf numFmtId="0" fontId="8" fillId="0" borderId="6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0" fontId="29" fillId="5" borderId="1" xfId="0" applyFont="1" applyFill="1" applyBorder="1" applyAlignment="1">
      <alignment horizontal="center" vertical="center" wrapText="1"/>
    </xf>
    <xf numFmtId="0" fontId="31" fillId="5" borderId="1" xfId="0" applyFont="1" applyFill="1" applyBorder="1" applyAlignment="1">
      <alignment horizontal="center" vertical="center" wrapText="1"/>
    </xf>
    <xf numFmtId="0" fontId="29" fillId="5" borderId="3" xfId="0" applyFont="1" applyFill="1" applyBorder="1" applyAlignment="1">
      <alignment horizontal="center" vertical="center" wrapText="1"/>
    </xf>
    <xf numFmtId="0" fontId="14" fillId="0" borderId="0" xfId="0" applyFont="1" applyBorder="1" applyAlignment="1">
      <alignment horizontal="left" vertical="top"/>
    </xf>
    <xf numFmtId="0" fontId="14" fillId="0" borderId="0" xfId="0" applyFont="1" applyBorder="1" applyAlignment="1">
      <alignment horizontal="center" vertical="center"/>
    </xf>
    <xf numFmtId="0" fontId="39" fillId="9" borderId="3" xfId="0" applyFont="1" applyFill="1" applyBorder="1" applyAlignment="1" applyProtection="1">
      <alignment horizontal="left" vertical="top" wrapText="1"/>
      <protection locked="0"/>
    </xf>
    <xf numFmtId="0" fontId="41" fillId="5" borderId="1" xfId="0" applyFont="1" applyFill="1" applyBorder="1" applyAlignment="1">
      <alignment horizontal="center" vertical="center" wrapText="1"/>
    </xf>
    <xf numFmtId="0" fontId="41" fillId="5" borderId="3" xfId="0" applyFont="1" applyFill="1" applyBorder="1" applyAlignment="1">
      <alignment horizontal="center" vertical="center" wrapText="1"/>
    </xf>
    <xf numFmtId="0" fontId="41" fillId="5" borderId="6" xfId="0" applyFont="1" applyFill="1" applyBorder="1" applyAlignment="1">
      <alignment horizontal="center" vertical="center" wrapText="1"/>
    </xf>
    <xf numFmtId="0" fontId="34" fillId="4" borderId="3" xfId="0" applyFont="1" applyFill="1" applyBorder="1" applyAlignment="1">
      <alignment horizontal="center" vertical="center"/>
    </xf>
    <xf numFmtId="0" fontId="34" fillId="3" borderId="1" xfId="0" applyFont="1" applyFill="1" applyBorder="1" applyAlignment="1">
      <alignment horizontal="center" vertical="top"/>
    </xf>
    <xf numFmtId="0" fontId="34" fillId="4" borderId="1" xfId="0" applyFont="1" applyFill="1" applyBorder="1" applyAlignment="1">
      <alignment horizontal="center" vertical="center"/>
    </xf>
    <xf numFmtId="0" fontId="34" fillId="3" borderId="1" xfId="0" applyFont="1" applyFill="1" applyBorder="1" applyAlignment="1">
      <alignment horizontal="center" vertical="center"/>
    </xf>
    <xf numFmtId="0" fontId="4" fillId="0" borderId="1" xfId="1" applyFont="1" applyBorder="1" applyAlignment="1">
      <alignment horizontal="left" vertical="center"/>
    </xf>
    <xf numFmtId="0" fontId="4" fillId="0" borderId="1" xfId="0" applyNumberFormat="1" applyFont="1" applyFill="1" applyBorder="1" applyAlignment="1">
      <alignment horizontal="center" vertical="center" wrapText="1"/>
    </xf>
    <xf numFmtId="2" fontId="40" fillId="0" borderId="1" xfId="0" applyNumberFormat="1" applyFont="1" applyBorder="1" applyAlignment="1">
      <alignment horizontal="center" vertical="center"/>
    </xf>
    <xf numFmtId="0" fontId="14" fillId="0" borderId="0" xfId="0" applyFont="1" applyBorder="1" applyAlignment="1">
      <alignment horizontal="left" vertical="top"/>
    </xf>
    <xf numFmtId="0" fontId="4" fillId="0" borderId="1" xfId="0" applyFont="1" applyBorder="1" applyAlignment="1">
      <alignment horizontal="center" vertical="center"/>
    </xf>
    <xf numFmtId="165" fontId="4" fillId="0" borderId="1" xfId="0" applyNumberFormat="1" applyFont="1" applyBorder="1" applyAlignment="1">
      <alignment horizontal="center" vertical="center"/>
    </xf>
    <xf numFmtId="0" fontId="10" fillId="0" borderId="0" xfId="0" applyFont="1" applyAlignment="1">
      <alignment horizontal="left"/>
    </xf>
    <xf numFmtId="0" fontId="11" fillId="10" borderId="1" xfId="0" applyFont="1" applyFill="1" applyBorder="1"/>
    <xf numFmtId="0" fontId="16" fillId="5" borderId="3" xfId="0" applyFont="1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left" vertical="center"/>
    </xf>
    <xf numFmtId="0" fontId="0" fillId="0" borderId="1" xfId="0" applyBorder="1" applyAlignment="1" applyProtection="1">
      <alignment horizontal="left" vertical="center"/>
      <protection locked="0"/>
    </xf>
    <xf numFmtId="0" fontId="10" fillId="0" borderId="4" xfId="0" applyFont="1" applyBorder="1" applyAlignment="1">
      <alignment horizontal="center"/>
    </xf>
    <xf numFmtId="0" fontId="43" fillId="0" borderId="1" xfId="0" applyFont="1" applyBorder="1" applyAlignment="1">
      <alignment vertical="center"/>
    </xf>
    <xf numFmtId="0" fontId="43" fillId="0" borderId="1" xfId="0" applyFont="1" applyBorder="1" applyAlignment="1">
      <alignment horizontal="center" vertical="center"/>
    </xf>
    <xf numFmtId="0" fontId="44" fillId="4" borderId="1" xfId="0" applyFont="1" applyFill="1" applyBorder="1" applyAlignment="1">
      <alignment horizontal="center" vertical="center" wrapText="1"/>
    </xf>
    <xf numFmtId="0" fontId="43" fillId="0" borderId="1" xfId="39" applyFont="1" applyBorder="1" applyAlignment="1">
      <alignment horizontal="left"/>
    </xf>
    <xf numFmtId="0" fontId="43" fillId="0" borderId="1" xfId="39" applyFont="1" applyBorder="1" applyAlignment="1">
      <alignment horizontal="center" vertical="center"/>
    </xf>
    <xf numFmtId="0" fontId="43" fillId="0" borderId="1" xfId="39" applyFont="1" applyBorder="1" applyAlignment="1">
      <alignment horizontal="left" vertical="center"/>
    </xf>
    <xf numFmtId="0" fontId="46" fillId="0" borderId="1" xfId="39" applyFont="1" applyBorder="1" applyAlignment="1">
      <alignment horizontal="left" wrapText="1"/>
    </xf>
    <xf numFmtId="0" fontId="43" fillId="0" borderId="1" xfId="39" applyFont="1" applyBorder="1" applyAlignment="1">
      <alignment horizontal="center"/>
    </xf>
    <xf numFmtId="0" fontId="43" fillId="0" borderId="1" xfId="39" applyFont="1" applyFill="1" applyBorder="1" applyAlignment="1">
      <alignment horizontal="left"/>
    </xf>
    <xf numFmtId="0" fontId="43" fillId="0" borderId="1" xfId="46" applyFont="1" applyBorder="1" applyAlignment="1">
      <alignment horizontal="left" vertical="center"/>
    </xf>
    <xf numFmtId="0" fontId="43" fillId="8" borderId="1" xfId="39" applyFont="1" applyFill="1" applyBorder="1" applyAlignment="1">
      <alignment horizontal="left" vertical="center" wrapText="1"/>
    </xf>
    <xf numFmtId="0" fontId="43" fillId="0" borderId="1" xfId="39" applyFont="1" applyBorder="1" applyAlignment="1">
      <alignment horizontal="center" vertical="center" wrapText="1"/>
    </xf>
    <xf numFmtId="0" fontId="43" fillId="0" borderId="1" xfId="39" applyFont="1" applyBorder="1" applyAlignment="1">
      <alignment horizontal="left" vertical="center" wrapText="1"/>
    </xf>
    <xf numFmtId="0" fontId="43" fillId="0" borderId="1" xfId="39" applyFont="1" applyFill="1" applyBorder="1" applyAlignment="1">
      <alignment horizontal="left" vertical="center" wrapText="1"/>
    </xf>
    <xf numFmtId="0" fontId="43" fillId="0" borderId="1" xfId="39" applyFont="1" applyFill="1" applyBorder="1" applyAlignment="1">
      <alignment horizontal="left" vertical="center"/>
    </xf>
    <xf numFmtId="0" fontId="43" fillId="8" borderId="1" xfId="39" applyFont="1" applyFill="1" applyBorder="1" applyAlignment="1">
      <alignment horizontal="left"/>
    </xf>
    <xf numFmtId="0" fontId="43" fillId="0" borderId="1" xfId="39" applyFont="1" applyFill="1" applyBorder="1" applyAlignment="1">
      <alignment horizontal="center"/>
    </xf>
    <xf numFmtId="0" fontId="43" fillId="8" borderId="1" xfId="39" applyFont="1" applyFill="1" applyBorder="1" applyAlignment="1">
      <alignment horizontal="left" vertical="center"/>
    </xf>
    <xf numFmtId="0" fontId="43" fillId="0" borderId="1" xfId="39" applyFont="1" applyFill="1" applyBorder="1" applyAlignment="1">
      <alignment horizontal="center" vertical="center"/>
    </xf>
    <xf numFmtId="0" fontId="43" fillId="8" borderId="1" xfId="46" applyFont="1" applyFill="1" applyBorder="1" applyAlignment="1">
      <alignment horizontal="left"/>
    </xf>
    <xf numFmtId="0" fontId="43" fillId="8" borderId="1" xfId="46" applyFont="1" applyFill="1" applyBorder="1" applyAlignment="1">
      <alignment horizontal="center" vertical="center"/>
    </xf>
    <xf numFmtId="0" fontId="43" fillId="8" borderId="1" xfId="46" applyFont="1" applyFill="1" applyBorder="1" applyAlignment="1">
      <alignment horizontal="left" vertical="center"/>
    </xf>
    <xf numFmtId="0" fontId="43" fillId="0" borderId="1" xfId="39" applyFont="1" applyBorder="1" applyAlignment="1">
      <alignment horizontal="left" vertical="top"/>
    </xf>
    <xf numFmtId="0" fontId="47" fillId="0" borderId="1" xfId="39" applyFont="1" applyBorder="1" applyAlignment="1">
      <alignment horizontal="left"/>
    </xf>
    <xf numFmtId="2" fontId="46" fillId="0" borderId="1" xfId="39" applyNumberFormat="1" applyFont="1" applyBorder="1" applyAlignment="1">
      <alignment horizontal="left" vertical="center"/>
    </xf>
    <xf numFmtId="2" fontId="46" fillId="0" borderId="1" xfId="39" applyNumberFormat="1" applyFont="1" applyBorder="1" applyAlignment="1">
      <alignment horizontal="center" vertical="center"/>
    </xf>
    <xf numFmtId="0" fontId="43" fillId="8" borderId="1" xfId="46" applyFont="1" applyFill="1" applyBorder="1" applyAlignment="1">
      <alignment horizontal="center"/>
    </xf>
    <xf numFmtId="0" fontId="47" fillId="0" borderId="1" xfId="39" applyFont="1" applyBorder="1" applyAlignment="1">
      <alignment horizontal="center" vertical="center"/>
    </xf>
    <xf numFmtId="0" fontId="46" fillId="0" borderId="1" xfId="1" applyFont="1" applyBorder="1" applyAlignment="1">
      <alignment horizontal="left" vertical="center"/>
    </xf>
    <xf numFmtId="0" fontId="43" fillId="0" borderId="1" xfId="39" applyFont="1" applyBorder="1" applyAlignment="1">
      <alignment horizontal="left" wrapText="1"/>
    </xf>
    <xf numFmtId="0" fontId="46" fillId="0" borderId="1" xfId="39" applyFont="1" applyBorder="1" applyAlignment="1">
      <alignment horizontal="left"/>
    </xf>
    <xf numFmtId="0" fontId="46" fillId="0" borderId="1" xfId="39" applyFont="1" applyBorder="1" applyAlignment="1">
      <alignment horizontal="center" vertical="center"/>
    </xf>
    <xf numFmtId="0" fontId="46" fillId="0" borderId="1" xfId="13" applyFont="1" applyFill="1" applyBorder="1" applyAlignment="1">
      <alignment horizontal="left"/>
    </xf>
    <xf numFmtId="0" fontId="46" fillId="0" borderId="1" xfId="13" applyFont="1" applyFill="1" applyBorder="1" applyAlignment="1">
      <alignment horizontal="center" vertical="center"/>
    </xf>
    <xf numFmtId="0" fontId="46" fillId="0" borderId="1" xfId="0" applyFont="1" applyBorder="1" applyAlignment="1">
      <alignment horizontal="left" vertical="top" wrapText="1"/>
    </xf>
    <xf numFmtId="0" fontId="43" fillId="0" borderId="1" xfId="0" applyFont="1" applyBorder="1"/>
    <xf numFmtId="0" fontId="43" fillId="0" borderId="1" xfId="0" applyFont="1" applyBorder="1" applyAlignment="1">
      <alignment horizontal="center"/>
    </xf>
    <xf numFmtId="0" fontId="44" fillId="4" borderId="3" xfId="0" applyFont="1" applyFill="1" applyBorder="1" applyAlignment="1">
      <alignment horizontal="left" vertical="center" wrapText="1"/>
    </xf>
    <xf numFmtId="0" fontId="43" fillId="0" borderId="3" xfId="39" applyFont="1" applyBorder="1" applyAlignment="1">
      <alignment vertical="center"/>
    </xf>
    <xf numFmtId="0" fontId="43" fillId="0" borderId="3" xfId="39" applyFont="1" applyBorder="1" applyAlignment="1">
      <alignment horizontal="left" vertical="center"/>
    </xf>
    <xf numFmtId="0" fontId="43" fillId="0" borderId="3" xfId="39" applyFont="1" applyFill="1" applyBorder="1" applyAlignment="1">
      <alignment horizontal="left" vertical="center"/>
    </xf>
    <xf numFmtId="0" fontId="43" fillId="8" borderId="3" xfId="46" applyFont="1" applyFill="1" applyBorder="1" applyAlignment="1">
      <alignment horizontal="left" vertical="center"/>
    </xf>
    <xf numFmtId="2" fontId="46" fillId="0" borderId="3" xfId="39" applyNumberFormat="1" applyFont="1" applyBorder="1" applyAlignment="1">
      <alignment horizontal="left" vertical="center"/>
    </xf>
    <xf numFmtId="0" fontId="43" fillId="0" borderId="3" xfId="39" applyFont="1" applyBorder="1" applyAlignment="1">
      <alignment horizontal="left" vertical="center" wrapText="1"/>
    </xf>
    <xf numFmtId="0" fontId="43" fillId="0" borderId="3" xfId="39" applyFont="1" applyFill="1" applyBorder="1" applyAlignment="1">
      <alignment horizontal="left" vertical="center" wrapText="1"/>
    </xf>
    <xf numFmtId="0" fontId="43" fillId="0" borderId="3" xfId="39" applyFont="1" applyFill="1" applyBorder="1" applyAlignment="1">
      <alignment vertical="center"/>
    </xf>
    <xf numFmtId="0" fontId="43" fillId="0" borderId="3" xfId="39" applyFont="1" applyFill="1" applyBorder="1" applyAlignment="1">
      <alignment horizontal="left"/>
    </xf>
    <xf numFmtId="0" fontId="43" fillId="0" borderId="3" xfId="0" applyFont="1" applyBorder="1" applyAlignment="1">
      <alignment horizontal="left"/>
    </xf>
    <xf numFmtId="0" fontId="10" fillId="0" borderId="11" xfId="0" applyFont="1" applyBorder="1"/>
    <xf numFmtId="0" fontId="45" fillId="0" borderId="11" xfId="0" applyFont="1" applyBorder="1"/>
    <xf numFmtId="0" fontId="43" fillId="0" borderId="11" xfId="0" applyFont="1" applyBorder="1"/>
    <xf numFmtId="0" fontId="12" fillId="6" borderId="3" xfId="0" applyFont="1" applyFill="1" applyBorder="1" applyAlignment="1">
      <alignment horizontal="center" vertical="top" wrapText="1"/>
    </xf>
    <xf numFmtId="0" fontId="12" fillId="6" borderId="5" xfId="0" applyNumberFormat="1" applyFont="1" applyFill="1" applyBorder="1" applyAlignment="1">
      <alignment horizontal="center" vertical="top" wrapText="1"/>
    </xf>
    <xf numFmtId="0" fontId="12" fillId="6" borderId="2" xfId="0" applyNumberFormat="1" applyFont="1" applyFill="1" applyBorder="1" applyAlignment="1">
      <alignment horizontal="center" vertical="top" wrapText="1"/>
    </xf>
    <xf numFmtId="49" fontId="27" fillId="0" borderId="3" xfId="40" applyNumberFormat="1" applyFill="1" applyBorder="1" applyAlignment="1">
      <alignment horizontal="center" vertical="center"/>
    </xf>
    <xf numFmtId="49" fontId="27" fillId="0" borderId="5" xfId="40" applyNumberFormat="1" applyFill="1" applyBorder="1" applyAlignment="1">
      <alignment horizontal="center" vertical="center"/>
    </xf>
    <xf numFmtId="0" fontId="29" fillId="4" borderId="3" xfId="0" applyFont="1" applyFill="1" applyBorder="1" applyAlignment="1">
      <alignment horizontal="center" vertical="center"/>
    </xf>
    <xf numFmtId="0" fontId="29" fillId="4" borderId="5" xfId="0" applyFont="1" applyFill="1" applyBorder="1" applyAlignment="1">
      <alignment horizontal="center" vertical="center"/>
    </xf>
    <xf numFmtId="0" fontId="29" fillId="4" borderId="2" xfId="0" applyFont="1" applyFill="1" applyBorder="1" applyAlignment="1">
      <alignment horizontal="center" vertical="center"/>
    </xf>
    <xf numFmtId="2" fontId="32" fillId="8" borderId="3" xfId="0" applyNumberFormat="1" applyFont="1" applyFill="1" applyBorder="1" applyAlignment="1">
      <alignment horizontal="center" vertical="top" wrapText="1"/>
    </xf>
    <xf numFmtId="0" fontId="32" fillId="8" borderId="5" xfId="0" applyNumberFormat="1" applyFont="1" applyFill="1" applyBorder="1" applyAlignment="1">
      <alignment horizontal="center" vertical="top" wrapText="1"/>
    </xf>
    <xf numFmtId="0" fontId="32" fillId="8" borderId="2" xfId="0" applyNumberFormat="1" applyFont="1" applyFill="1" applyBorder="1" applyAlignment="1">
      <alignment horizontal="center" vertical="top" wrapText="1"/>
    </xf>
    <xf numFmtId="0" fontId="11" fillId="4" borderId="3" xfId="0" applyFont="1" applyFill="1" applyBorder="1" applyAlignment="1">
      <alignment horizontal="center" vertical="center"/>
    </xf>
    <xf numFmtId="0" fontId="11" fillId="4" borderId="5" xfId="0" applyFont="1" applyFill="1" applyBorder="1" applyAlignment="1">
      <alignment horizontal="center" vertical="center"/>
    </xf>
    <xf numFmtId="0" fontId="11" fillId="4" borderId="2" xfId="0" applyFont="1" applyFill="1" applyBorder="1" applyAlignment="1">
      <alignment horizontal="center" vertical="center"/>
    </xf>
    <xf numFmtId="2" fontId="32" fillId="6" borderId="3" xfId="0" applyNumberFormat="1" applyFont="1" applyFill="1" applyBorder="1" applyAlignment="1">
      <alignment horizontal="center" vertical="top" wrapText="1"/>
    </xf>
    <xf numFmtId="0" fontId="32" fillId="6" borderId="5" xfId="0" applyNumberFormat="1" applyFont="1" applyFill="1" applyBorder="1" applyAlignment="1">
      <alignment horizontal="center" vertical="top" wrapText="1"/>
    </xf>
    <xf numFmtId="0" fontId="32" fillId="6" borderId="2" xfId="0" applyNumberFormat="1" applyFont="1" applyFill="1" applyBorder="1" applyAlignment="1">
      <alignment horizontal="center" vertical="top" wrapText="1"/>
    </xf>
    <xf numFmtId="0" fontId="18" fillId="5" borderId="7" xfId="0" applyFont="1" applyFill="1" applyBorder="1" applyAlignment="1">
      <alignment horizontal="left" vertical="top" wrapText="1"/>
    </xf>
    <xf numFmtId="0" fontId="18" fillId="5" borderId="8" xfId="0" applyFont="1" applyFill="1" applyBorder="1" applyAlignment="1">
      <alignment horizontal="left" vertical="top" wrapText="1"/>
    </xf>
    <xf numFmtId="0" fontId="18" fillId="5" borderId="9" xfId="0" applyFont="1" applyFill="1" applyBorder="1" applyAlignment="1">
      <alignment horizontal="left" vertical="top" wrapText="1"/>
    </xf>
    <xf numFmtId="0" fontId="15" fillId="4" borderId="1" xfId="0" applyFont="1" applyFill="1" applyBorder="1" applyAlignment="1">
      <alignment horizontal="center" vertical="center"/>
    </xf>
    <xf numFmtId="0" fontId="31" fillId="4" borderId="5" xfId="0" applyFont="1" applyFill="1" applyBorder="1" applyAlignment="1">
      <alignment horizontal="center" vertical="center"/>
    </xf>
    <xf numFmtId="0" fontId="31" fillId="4" borderId="2" xfId="0" applyFont="1" applyFill="1" applyBorder="1" applyAlignment="1">
      <alignment horizontal="center" vertical="center"/>
    </xf>
    <xf numFmtId="0" fontId="32" fillId="6" borderId="3" xfId="0" applyNumberFormat="1" applyFont="1" applyFill="1" applyBorder="1" applyAlignment="1">
      <alignment horizontal="center" vertical="top" wrapText="1"/>
    </xf>
    <xf numFmtId="0" fontId="29" fillId="3" borderId="1" xfId="0" applyFont="1" applyFill="1" applyBorder="1" applyAlignment="1">
      <alignment horizontal="center" vertical="top"/>
    </xf>
    <xf numFmtId="0" fontId="31" fillId="3" borderId="1" xfId="0" applyFont="1" applyFill="1" applyBorder="1" applyAlignment="1">
      <alignment horizontal="center" vertical="top"/>
    </xf>
    <xf numFmtId="9" fontId="13" fillId="0" borderId="1" xfId="0" applyNumberFormat="1" applyFont="1" applyFill="1" applyBorder="1" applyAlignment="1">
      <alignment horizontal="center" vertical="center"/>
    </xf>
    <xf numFmtId="2" fontId="12" fillId="8" borderId="3" xfId="0" applyNumberFormat="1" applyFont="1" applyFill="1" applyBorder="1" applyAlignment="1">
      <alignment horizontal="center" vertical="top" wrapText="1"/>
    </xf>
    <xf numFmtId="0" fontId="12" fillId="8" borderId="5" xfId="0" applyNumberFormat="1" applyFont="1" applyFill="1" applyBorder="1" applyAlignment="1">
      <alignment horizontal="center" vertical="top" wrapText="1"/>
    </xf>
    <xf numFmtId="0" fontId="12" fillId="8" borderId="2" xfId="0" applyNumberFormat="1" applyFont="1" applyFill="1" applyBorder="1" applyAlignment="1">
      <alignment horizontal="center" vertical="top" wrapText="1"/>
    </xf>
    <xf numFmtId="14" fontId="4" fillId="0" borderId="3" xfId="0" applyNumberFormat="1" applyFont="1" applyFill="1" applyBorder="1" applyAlignment="1">
      <alignment horizontal="left" vertical="top" wrapText="1"/>
    </xf>
    <xf numFmtId="14" fontId="4" fillId="0" borderId="2" xfId="0" applyNumberFormat="1" applyFont="1" applyFill="1" applyBorder="1" applyAlignment="1">
      <alignment horizontal="left" vertical="top" wrapText="1"/>
    </xf>
    <xf numFmtId="0" fontId="13" fillId="6" borderId="1" xfId="0" applyFont="1" applyFill="1" applyBorder="1" applyAlignment="1">
      <alignment horizontal="center" vertical="center"/>
    </xf>
    <xf numFmtId="9" fontId="13" fillId="6" borderId="1" xfId="0" applyNumberFormat="1" applyFont="1" applyFill="1" applyBorder="1" applyAlignment="1">
      <alignment horizontal="center" vertical="center"/>
    </xf>
    <xf numFmtId="0" fontId="16" fillId="5" borderId="3" xfId="0" applyFont="1" applyFill="1" applyBorder="1" applyAlignment="1">
      <alignment horizontal="center" vertical="center" wrapText="1"/>
    </xf>
    <xf numFmtId="0" fontId="16" fillId="5" borderId="2" xfId="0" applyFont="1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top"/>
    </xf>
    <xf numFmtId="0" fontId="11" fillId="3" borderId="1" xfId="0" applyFont="1" applyFill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/>
    </xf>
    <xf numFmtId="2" fontId="13" fillId="6" borderId="1" xfId="0" applyNumberFormat="1" applyFont="1" applyFill="1" applyBorder="1" applyAlignment="1">
      <alignment horizontal="center" vertical="center"/>
    </xf>
    <xf numFmtId="164" fontId="12" fillId="6" borderId="1" xfId="0" applyNumberFormat="1" applyFont="1" applyFill="1" applyBorder="1" applyAlignment="1">
      <alignment horizontal="center" vertical="center" wrapText="1"/>
    </xf>
    <xf numFmtId="0" fontId="13" fillId="0" borderId="1" xfId="0" applyFont="1" applyFill="1" applyBorder="1" applyAlignment="1">
      <alignment horizontal="center" vertical="center"/>
    </xf>
    <xf numFmtId="0" fontId="4" fillId="0" borderId="3" xfId="1" applyFont="1" applyBorder="1" applyAlignment="1">
      <alignment horizontal="left" vertical="center"/>
    </xf>
    <xf numFmtId="0" fontId="4" fillId="0" borderId="2" xfId="1" applyFont="1" applyBorder="1" applyAlignment="1">
      <alignment horizontal="left" vertical="center"/>
    </xf>
    <xf numFmtId="0" fontId="4" fillId="0" borderId="3" xfId="1" applyFont="1" applyBorder="1" applyAlignment="1">
      <alignment horizontal="left" vertical="top"/>
    </xf>
    <xf numFmtId="0" fontId="4" fillId="0" borderId="2" xfId="1" applyFont="1" applyBorder="1" applyAlignment="1">
      <alignment horizontal="left" vertical="top"/>
    </xf>
    <xf numFmtId="0" fontId="33" fillId="4" borderId="1" xfId="0" applyFont="1" applyFill="1" applyBorder="1" applyAlignment="1">
      <alignment horizontal="center" vertical="center"/>
    </xf>
    <xf numFmtId="0" fontId="35" fillId="6" borderId="1" xfId="0" applyNumberFormat="1" applyFont="1" applyFill="1" applyBorder="1" applyAlignment="1">
      <alignment horizontal="left" vertical="top" wrapText="1"/>
    </xf>
    <xf numFmtId="0" fontId="36" fillId="5" borderId="7" xfId="0" applyFont="1" applyFill="1" applyBorder="1" applyAlignment="1">
      <alignment horizontal="left" vertical="top" wrapText="1"/>
    </xf>
    <xf numFmtId="0" fontId="36" fillId="5" borderId="8" xfId="0" applyFont="1" applyFill="1" applyBorder="1" applyAlignment="1">
      <alignment horizontal="left" vertical="top" wrapText="1"/>
    </xf>
    <xf numFmtId="0" fontId="36" fillId="5" borderId="9" xfId="0" applyFont="1" applyFill="1" applyBorder="1" applyAlignment="1">
      <alignment horizontal="left" vertical="top" wrapText="1"/>
    </xf>
    <xf numFmtId="0" fontId="28" fillId="0" borderId="1" xfId="0" applyNumberFormat="1" applyFont="1" applyFill="1" applyBorder="1" applyAlignment="1">
      <alignment horizontal="left" vertical="top"/>
    </xf>
    <xf numFmtId="9" fontId="28" fillId="0" borderId="1" xfId="0" applyNumberFormat="1" applyFont="1" applyFill="1" applyBorder="1" applyAlignment="1">
      <alignment horizontal="center" vertical="center"/>
    </xf>
    <xf numFmtId="2" fontId="38" fillId="6" borderId="1" xfId="0" applyNumberFormat="1" applyFont="1" applyFill="1" applyBorder="1" applyAlignment="1">
      <alignment horizontal="center" vertical="center"/>
    </xf>
    <xf numFmtId="0" fontId="26" fillId="0" borderId="3" xfId="26" applyNumberFormat="1" applyFill="1" applyBorder="1" applyAlignment="1" applyProtection="1">
      <alignment horizontal="center" vertical="center"/>
    </xf>
    <xf numFmtId="0" fontId="26" fillId="0" borderId="5" xfId="26" applyNumberFormat="1" applyFill="1" applyBorder="1" applyAlignment="1" applyProtection="1">
      <alignment horizontal="center" vertical="center"/>
    </xf>
    <xf numFmtId="0" fontId="26" fillId="0" borderId="2" xfId="26" applyNumberFormat="1" applyFill="1" applyBorder="1" applyAlignment="1" applyProtection="1">
      <alignment horizontal="center" vertical="center"/>
    </xf>
    <xf numFmtId="0" fontId="28" fillId="0" borderId="1" xfId="0" applyNumberFormat="1" applyFont="1" applyFill="1" applyBorder="1" applyAlignment="1">
      <alignment horizontal="center" vertical="top"/>
    </xf>
    <xf numFmtId="0" fontId="28" fillId="6" borderId="1" xfId="0" applyNumberFormat="1" applyFont="1" applyFill="1" applyBorder="1" applyAlignment="1">
      <alignment horizontal="left" vertical="top"/>
    </xf>
    <xf numFmtId="164" fontId="35" fillId="6" borderId="1" xfId="0" applyNumberFormat="1" applyFont="1" applyFill="1" applyBorder="1" applyAlignment="1">
      <alignment horizontal="center" vertical="center" wrapText="1"/>
    </xf>
    <xf numFmtId="0" fontId="28" fillId="0" borderId="1" xfId="0" applyFont="1" applyFill="1" applyBorder="1" applyAlignment="1">
      <alignment horizontal="center" vertical="center"/>
    </xf>
    <xf numFmtId="0" fontId="28" fillId="6" borderId="1" xfId="0" applyFont="1" applyFill="1" applyBorder="1" applyAlignment="1">
      <alignment horizontal="center" vertical="center"/>
    </xf>
    <xf numFmtId="0" fontId="43" fillId="0" borderId="1" xfId="0" applyFont="1" applyBorder="1" applyAlignment="1">
      <alignment horizontal="center" vertical="center"/>
    </xf>
    <xf numFmtId="0" fontId="43" fillId="0" borderId="1" xfId="0" applyFont="1" applyBorder="1" applyAlignment="1">
      <alignment horizontal="left" vertical="center"/>
    </xf>
    <xf numFmtId="0" fontId="11" fillId="10" borderId="10" xfId="0" applyFont="1" applyFill="1" applyBorder="1" applyAlignment="1">
      <alignment horizontal="left" vertical="top" wrapText="1"/>
    </xf>
    <xf numFmtId="0" fontId="11" fillId="10" borderId="1" xfId="0" applyFont="1" applyFill="1" applyBorder="1" applyAlignment="1">
      <alignment horizontal="left" vertical="top" wrapText="1"/>
    </xf>
  </cellXfs>
  <cellStyles count="47">
    <cellStyle name="Bad 2" xfId="13"/>
    <cellStyle name="Hyperlink" xfId="40" builtinId="8"/>
    <cellStyle name="Hyperlink 2" xfId="26"/>
    <cellStyle name="Normal" xfId="0" builtinId="0"/>
    <cellStyle name="Normal 10" xfId="39"/>
    <cellStyle name="Normal 2" xfId="6"/>
    <cellStyle name="Normal 2 10 2" xfId="4"/>
    <cellStyle name="Normal 2 2" xfId="14"/>
    <cellStyle name="Normal 3" xfId="2"/>
    <cellStyle name="Normal 3 2" xfId="16"/>
    <cellStyle name="Normal 4" xfId="9"/>
    <cellStyle name="Normal 4 2" xfId="15"/>
    <cellStyle name="Normal 5" xfId="10"/>
    <cellStyle name="Normal 5 2" xfId="17"/>
    <cellStyle name="Normal 5 4" xfId="46"/>
    <cellStyle name="Normal 6" xfId="3"/>
    <cellStyle name="Normal 6 2" xfId="8"/>
    <cellStyle name="Normal 6 3" xfId="5"/>
    <cellStyle name="Normal 7" xfId="12"/>
    <cellStyle name="Normal 8" xfId="11"/>
    <cellStyle name="Normal 8 2" xfId="41"/>
    <cellStyle name="Normal 8 2 2" xfId="44"/>
    <cellStyle name="Normal 8 3" xfId="42"/>
    <cellStyle name="Normal 8 3 2" xfId="45"/>
    <cellStyle name="Normal 8 4" xfId="43"/>
    <cellStyle name="Normal 9" xfId="7"/>
    <cellStyle name="Normal 9 10" xfId="36"/>
    <cellStyle name="Normal 9 11" xfId="37"/>
    <cellStyle name="Normal 9 12" xfId="38"/>
    <cellStyle name="Normal 9 13" xfId="18"/>
    <cellStyle name="Normal 9 2" xfId="19"/>
    <cellStyle name="Normal 9 2 2" xfId="30"/>
    <cellStyle name="Normal 9 2 3" xfId="28"/>
    <cellStyle name="Normal 9 3" xfId="20"/>
    <cellStyle name="Normal 9 3 2" xfId="31"/>
    <cellStyle name="Normal 9 4" xfId="21"/>
    <cellStyle name="Normal 9 5" xfId="22"/>
    <cellStyle name="Normal 9 5 2" xfId="29"/>
    <cellStyle name="Normal 9 6" xfId="23"/>
    <cellStyle name="Normal 9 6 2" xfId="32"/>
    <cellStyle name="Normal 9 7" xfId="24"/>
    <cellStyle name="Normal 9 7 2" xfId="33"/>
    <cellStyle name="Normal 9 8" xfId="25"/>
    <cellStyle name="Normal 9 8 2" xfId="34"/>
    <cellStyle name="Normal 9 9" xfId="27"/>
    <cellStyle name="Normal 9 9 2" xfId="35"/>
    <cellStyle name="Normal_Test Result Summary" xfId="1"/>
  </cellStyles>
  <dxfs count="0"/>
  <tableStyles count="0" defaultTableStyle="TableStyleMedium2" defaultPivotStyle="PivotStyleMedium9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1238250</xdr:colOff>
          <xdr:row>5</xdr:row>
          <xdr:rowOff>514350</xdr:rowOff>
        </xdr:from>
        <xdr:to>
          <xdr:col>1</xdr:col>
          <xdr:colOff>2695575</xdr:colOff>
          <xdr:row>5</xdr:row>
          <xdr:rowOff>800100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Save As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1257300</xdr:colOff>
          <xdr:row>7</xdr:row>
          <xdr:rowOff>361950</xdr:rowOff>
        </xdr:from>
        <xdr:to>
          <xdr:col>1</xdr:col>
          <xdr:colOff>3133725</xdr:colOff>
          <xdr:row>7</xdr:row>
          <xdr:rowOff>619125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Upload to Test Dashboard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P1381"/>
  <sheetViews>
    <sheetView tabSelected="1" zoomScaleNormal="100" workbookViewId="0">
      <pane xSplit="5" ySplit="10" topLeftCell="G11" activePane="bottomRight" state="frozen"/>
      <selection pane="topRight" activeCell="F1" sqref="F1"/>
      <selection pane="bottomLeft" activeCell="A11" sqref="A11"/>
      <selection pane="bottomRight" activeCell="D25" sqref="D25"/>
    </sheetView>
  </sheetViews>
  <sheetFormatPr defaultColWidth="9.140625" defaultRowHeight="15.75"/>
  <cols>
    <col min="1" max="1" width="15.7109375" style="11" customWidth="1"/>
    <col min="2" max="2" width="23" style="11" customWidth="1"/>
    <col min="3" max="3" width="13.7109375" style="10" customWidth="1"/>
    <col min="4" max="5" width="15.7109375" style="10" customWidth="1"/>
    <col min="6" max="6" width="16.140625" style="10" bestFit="1" customWidth="1"/>
    <col min="7" max="7" width="12" style="10" customWidth="1"/>
    <col min="8" max="8" width="15.7109375" style="10" customWidth="1"/>
    <col min="9" max="9" width="13.85546875" style="12" customWidth="1"/>
    <col min="10" max="11" width="14.28515625" style="12" customWidth="1"/>
    <col min="12" max="13" width="12.28515625" style="12" customWidth="1"/>
    <col min="14" max="14" width="12.28515625" style="10" bestFit="1" customWidth="1"/>
    <col min="15" max="15" width="43" style="17" customWidth="1"/>
    <col min="16" max="16" width="25.7109375" style="18" bestFit="1" customWidth="1"/>
    <col min="17" max="17" width="22.7109375" style="18" bestFit="1" customWidth="1"/>
    <col min="18" max="94" width="9.140625" style="8"/>
    <col min="95" max="16384" width="9.140625" style="9"/>
  </cols>
  <sheetData>
    <row r="1" spans="1:94" ht="30" customHeight="1">
      <c r="A1" s="122" t="s">
        <v>76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N1" s="122"/>
      <c r="O1" s="122"/>
      <c r="P1" s="6"/>
      <c r="Q1" s="6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</row>
    <row r="2" spans="1:94">
      <c r="A2" s="113" t="s">
        <v>374</v>
      </c>
      <c r="B2" s="114"/>
      <c r="C2" s="115"/>
      <c r="D2" s="142"/>
      <c r="E2" s="142"/>
      <c r="F2" s="142"/>
      <c r="G2" s="142"/>
      <c r="H2" s="142"/>
      <c r="I2" s="107" t="s">
        <v>212</v>
      </c>
      <c r="J2" s="123"/>
      <c r="K2" s="124"/>
      <c r="L2" s="125">
        <f>COUNTIF(D12:D999,"Passed")</f>
        <v>0</v>
      </c>
      <c r="M2" s="117"/>
      <c r="N2" s="118"/>
      <c r="O2" s="119" t="s">
        <v>85</v>
      </c>
      <c r="P2" s="6"/>
      <c r="Q2" s="6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</row>
    <row r="3" spans="1:94">
      <c r="A3" s="138" t="s">
        <v>77</v>
      </c>
      <c r="B3" s="138"/>
      <c r="C3" s="138"/>
      <c r="D3" s="143">
        <f>COUNTA(A12:A9994)</f>
        <v>0</v>
      </c>
      <c r="E3" s="143"/>
      <c r="F3" s="143"/>
      <c r="G3" s="143"/>
      <c r="H3" s="143"/>
      <c r="I3" s="126" t="s">
        <v>213</v>
      </c>
      <c r="J3" s="127"/>
      <c r="K3" s="127"/>
      <c r="L3" s="128" t="e">
        <f>L2/D3</f>
        <v>#DIV/0!</v>
      </c>
      <c r="M3" s="128"/>
      <c r="N3" s="128"/>
      <c r="O3" s="120"/>
      <c r="P3" s="6"/>
      <c r="Q3" s="6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</row>
    <row r="4" spans="1:94">
      <c r="A4" s="140" t="s">
        <v>78</v>
      </c>
      <c r="B4" s="140"/>
      <c r="C4" s="140"/>
      <c r="D4" s="134">
        <f>COUNTIF(J12:J9996,"Passed")</f>
        <v>0</v>
      </c>
      <c r="E4" s="134"/>
      <c r="F4" s="134"/>
      <c r="G4" s="134"/>
      <c r="H4" s="134"/>
      <c r="I4" s="107" t="s">
        <v>215</v>
      </c>
      <c r="J4" s="123"/>
      <c r="K4" s="124"/>
      <c r="L4" s="116">
        <f>SUM(G12:G999)</f>
        <v>0</v>
      </c>
      <c r="M4" s="117"/>
      <c r="N4" s="118"/>
      <c r="O4" s="120"/>
      <c r="P4" s="6"/>
      <c r="Q4" s="6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</row>
    <row r="5" spans="1:94">
      <c r="A5" s="139" t="s">
        <v>79</v>
      </c>
      <c r="B5" s="139"/>
      <c r="C5" s="139"/>
      <c r="D5" s="143">
        <f>COUNTIF(J12:J9996,"Failed")</f>
        <v>0</v>
      </c>
      <c r="E5" s="143"/>
      <c r="F5" s="143"/>
      <c r="G5" s="143"/>
      <c r="H5" s="143"/>
      <c r="I5" s="126" t="s">
        <v>214</v>
      </c>
      <c r="J5" s="127"/>
      <c r="K5" s="127"/>
      <c r="L5" s="110">
        <f>SUM(H12:H999)</f>
        <v>0</v>
      </c>
      <c r="M5" s="111"/>
      <c r="N5" s="112"/>
      <c r="O5" s="120"/>
      <c r="P5" s="6"/>
      <c r="Q5" s="6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</row>
    <row r="6" spans="1:94">
      <c r="A6" s="140" t="s">
        <v>80</v>
      </c>
      <c r="B6" s="140"/>
      <c r="C6" s="140"/>
      <c r="D6" s="134">
        <f>COUNTIF(J12:J9996,"Warning")</f>
        <v>0</v>
      </c>
      <c r="E6" s="134"/>
      <c r="F6" s="134"/>
      <c r="G6" s="134"/>
      <c r="H6" s="134"/>
      <c r="I6" s="107"/>
      <c r="J6" s="123"/>
      <c r="K6" s="124"/>
      <c r="L6" s="102"/>
      <c r="M6" s="103"/>
      <c r="N6" s="104"/>
      <c r="O6" s="120"/>
      <c r="P6" s="6"/>
      <c r="Q6" s="6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</row>
    <row r="7" spans="1:94">
      <c r="A7" s="139" t="s">
        <v>81</v>
      </c>
      <c r="B7" s="139"/>
      <c r="C7" s="139"/>
      <c r="D7" s="128" t="e">
        <f>D4/D3</f>
        <v>#DIV/0!</v>
      </c>
      <c r="E7" s="128"/>
      <c r="F7" s="128"/>
      <c r="G7" s="128"/>
      <c r="H7" s="128"/>
      <c r="I7" s="126" t="s">
        <v>367</v>
      </c>
      <c r="J7" s="127"/>
      <c r="K7" s="127"/>
      <c r="L7" s="129">
        <f>SUM(K12:K1999)</f>
        <v>0</v>
      </c>
      <c r="M7" s="130"/>
      <c r="N7" s="131"/>
      <c r="O7" s="120"/>
      <c r="P7" s="6"/>
      <c r="Q7" s="6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</row>
    <row r="8" spans="1:94">
      <c r="A8" s="140" t="s">
        <v>82</v>
      </c>
      <c r="B8" s="140"/>
      <c r="C8" s="140"/>
      <c r="D8" s="135" t="e">
        <f>COUNTIF(C12:C9994,"Passed")/D3</f>
        <v>#DIV/0!</v>
      </c>
      <c r="E8" s="135"/>
      <c r="F8" s="135"/>
      <c r="G8" s="135"/>
      <c r="H8" s="135"/>
      <c r="I8" s="107" t="s">
        <v>217</v>
      </c>
      <c r="J8" s="123"/>
      <c r="K8" s="124"/>
      <c r="L8" s="102">
        <f>SUM(E12:E1999)+SUM(H12:H1999)</f>
        <v>0</v>
      </c>
      <c r="M8" s="103"/>
      <c r="N8" s="104"/>
      <c r="O8" s="120"/>
      <c r="P8" s="6"/>
      <c r="Q8" s="6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</row>
    <row r="9" spans="1:94">
      <c r="A9" s="139" t="s">
        <v>87</v>
      </c>
      <c r="B9" s="139"/>
      <c r="C9" s="139"/>
      <c r="D9" s="105"/>
      <c r="E9" s="106"/>
      <c r="F9" s="106"/>
      <c r="G9" s="106"/>
      <c r="H9" s="106"/>
      <c r="I9" s="107" t="s">
        <v>218</v>
      </c>
      <c r="J9" s="108"/>
      <c r="K9" s="109"/>
      <c r="L9" s="110"/>
      <c r="M9" s="111"/>
      <c r="N9" s="112"/>
      <c r="O9" s="120"/>
      <c r="P9" s="6"/>
      <c r="Q9" s="6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</row>
    <row r="10" spans="1:94">
      <c r="A10" s="113" t="s">
        <v>83</v>
      </c>
      <c r="B10" s="114"/>
      <c r="C10" s="115"/>
      <c r="D10" s="141">
        <f>SUM(E12:E1999)+SUM(H12:H1999)</f>
        <v>0</v>
      </c>
      <c r="E10" s="141"/>
      <c r="F10" s="141"/>
      <c r="G10" s="141"/>
      <c r="H10" s="141"/>
      <c r="I10" s="113" t="s">
        <v>209</v>
      </c>
      <c r="J10" s="114"/>
      <c r="K10" s="115"/>
      <c r="L10" s="116">
        <f>D10/4</f>
        <v>0</v>
      </c>
      <c r="M10" s="117"/>
      <c r="N10" s="118"/>
      <c r="O10" s="121"/>
      <c r="P10" s="6"/>
      <c r="Q10" s="6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</row>
    <row r="11" spans="1:94" s="14" customFormat="1" ht="39" customHeight="1">
      <c r="A11" s="136" t="s">
        <v>84</v>
      </c>
      <c r="B11" s="137"/>
      <c r="C11" s="13" t="s">
        <v>0</v>
      </c>
      <c r="D11" s="13" t="s">
        <v>216</v>
      </c>
      <c r="E11" s="13" t="s">
        <v>368</v>
      </c>
      <c r="F11" s="27" t="s">
        <v>205</v>
      </c>
      <c r="G11" s="26" t="s">
        <v>369</v>
      </c>
      <c r="H11" s="26" t="s">
        <v>370</v>
      </c>
      <c r="I11" s="28" t="s">
        <v>371</v>
      </c>
      <c r="J11" s="26" t="s">
        <v>372</v>
      </c>
      <c r="K11" s="26" t="s">
        <v>373</v>
      </c>
      <c r="L11" s="13" t="s">
        <v>1</v>
      </c>
      <c r="M11" s="47" t="s">
        <v>21</v>
      </c>
      <c r="N11" s="13" t="s">
        <v>22</v>
      </c>
      <c r="O11" s="15" t="s">
        <v>66</v>
      </c>
      <c r="P11" s="19"/>
      <c r="Q11" s="19"/>
    </row>
    <row r="12" spans="1:94" s="6" customFormat="1" ht="14.1" customHeight="1">
      <c r="A12" s="144"/>
      <c r="B12" s="145"/>
      <c r="C12" s="43"/>
      <c r="D12" s="43"/>
      <c r="E12" s="43"/>
      <c r="F12" s="22"/>
      <c r="G12" s="25"/>
      <c r="H12" s="43"/>
      <c r="I12" s="23"/>
      <c r="J12" s="25" t="str">
        <f>IF(D12&lt;&gt;"",D12,"")</f>
        <v/>
      </c>
      <c r="K12" s="25" t="str">
        <f>IF(D12="Passed",E12,IF(D12="Warning",E12,""))</f>
        <v/>
      </c>
      <c r="L12" s="22"/>
      <c r="M12" s="23"/>
      <c r="N12" s="20"/>
      <c r="O12" s="24"/>
    </row>
    <row r="13" spans="1:94" s="6" customFormat="1" ht="14.1" customHeight="1">
      <c r="A13" s="144"/>
      <c r="B13" s="145"/>
      <c r="C13" s="43"/>
      <c r="D13" s="43"/>
      <c r="E13" s="25"/>
      <c r="F13" s="22"/>
      <c r="G13" s="25"/>
      <c r="H13" s="25"/>
      <c r="I13" s="23"/>
      <c r="J13" s="25" t="str">
        <f t="shared" ref="J13:J76" si="0">IF(D13&lt;&gt;"",D13,"")</f>
        <v/>
      </c>
      <c r="K13" s="25" t="str">
        <f t="shared" ref="K13:K76" si="1">IF(D13="Passed",E13,IF(D13="Warning",E13,""))</f>
        <v/>
      </c>
      <c r="L13" s="22"/>
      <c r="M13" s="23"/>
      <c r="N13" s="20"/>
      <c r="O13" s="24"/>
    </row>
    <row r="14" spans="1:94" s="6" customFormat="1" ht="14.1" customHeight="1">
      <c r="A14" s="144"/>
      <c r="B14" s="145"/>
      <c r="C14" s="43"/>
      <c r="D14" s="43"/>
      <c r="E14" s="25"/>
      <c r="F14" s="22"/>
      <c r="G14" s="25"/>
      <c r="H14" s="25"/>
      <c r="I14" s="23"/>
      <c r="J14" s="25" t="str">
        <f t="shared" si="0"/>
        <v/>
      </c>
      <c r="K14" s="25" t="str">
        <f t="shared" si="1"/>
        <v/>
      </c>
      <c r="L14" s="22"/>
      <c r="M14" s="23"/>
      <c r="N14" s="20"/>
      <c r="O14" s="24"/>
    </row>
    <row r="15" spans="1:94" s="6" customFormat="1" ht="14.1" customHeight="1">
      <c r="A15" s="144"/>
      <c r="B15" s="145"/>
      <c r="C15" s="43"/>
      <c r="D15" s="43"/>
      <c r="E15" s="25"/>
      <c r="F15" s="22"/>
      <c r="G15" s="25"/>
      <c r="H15" s="25"/>
      <c r="I15" s="23"/>
      <c r="J15" s="25" t="str">
        <f t="shared" si="0"/>
        <v/>
      </c>
      <c r="K15" s="25" t="str">
        <f t="shared" si="1"/>
        <v/>
      </c>
      <c r="L15" s="22"/>
      <c r="M15" s="23"/>
      <c r="N15" s="20"/>
      <c r="O15" s="24"/>
    </row>
    <row r="16" spans="1:94" s="6" customFormat="1" ht="14.1" customHeight="1">
      <c r="A16" s="144"/>
      <c r="B16" s="145"/>
      <c r="C16" s="43"/>
      <c r="D16" s="43"/>
      <c r="E16" s="25"/>
      <c r="F16" s="22"/>
      <c r="G16" s="25"/>
      <c r="H16" s="25"/>
      <c r="I16" s="23"/>
      <c r="J16" s="25" t="str">
        <f t="shared" si="0"/>
        <v/>
      </c>
      <c r="K16" s="25" t="str">
        <f t="shared" si="1"/>
        <v/>
      </c>
      <c r="L16" s="22"/>
      <c r="M16" s="23"/>
      <c r="N16" s="20"/>
      <c r="O16" s="24"/>
    </row>
    <row r="17" spans="1:15" s="6" customFormat="1" ht="14.1" customHeight="1">
      <c r="A17" s="144"/>
      <c r="B17" s="145"/>
      <c r="C17" s="43"/>
      <c r="D17" s="43"/>
      <c r="E17" s="25"/>
      <c r="F17" s="22"/>
      <c r="G17" s="25"/>
      <c r="H17" s="25"/>
      <c r="I17" s="23"/>
      <c r="J17" s="25" t="str">
        <f t="shared" si="0"/>
        <v/>
      </c>
      <c r="K17" s="25" t="str">
        <f t="shared" si="1"/>
        <v/>
      </c>
      <c r="L17" s="22"/>
      <c r="M17" s="23"/>
      <c r="N17" s="20"/>
      <c r="O17" s="24"/>
    </row>
    <row r="18" spans="1:15" s="6" customFormat="1" ht="14.1" customHeight="1">
      <c r="A18" s="144"/>
      <c r="B18" s="145"/>
      <c r="C18" s="43"/>
      <c r="D18" s="43"/>
      <c r="E18" s="25"/>
      <c r="F18" s="22"/>
      <c r="G18" s="25"/>
      <c r="H18" s="25"/>
      <c r="I18" s="23"/>
      <c r="J18" s="25" t="str">
        <f t="shared" si="0"/>
        <v/>
      </c>
      <c r="K18" s="25" t="str">
        <f t="shared" si="1"/>
        <v/>
      </c>
      <c r="L18" s="22"/>
      <c r="M18" s="23"/>
      <c r="N18" s="20"/>
      <c r="O18" s="24"/>
    </row>
    <row r="19" spans="1:15" s="6" customFormat="1" ht="14.1" customHeight="1">
      <c r="A19" s="144"/>
      <c r="B19" s="145"/>
      <c r="C19" s="43"/>
      <c r="D19" s="43"/>
      <c r="E19" s="25"/>
      <c r="F19" s="22"/>
      <c r="G19" s="25"/>
      <c r="H19" s="25"/>
      <c r="I19" s="23"/>
      <c r="J19" s="25" t="str">
        <f t="shared" si="0"/>
        <v/>
      </c>
      <c r="K19" s="25" t="str">
        <f t="shared" si="1"/>
        <v/>
      </c>
      <c r="L19" s="22"/>
      <c r="M19" s="23"/>
      <c r="N19" s="20"/>
      <c r="O19" s="24"/>
    </row>
    <row r="20" spans="1:15" s="6" customFormat="1" ht="14.1" customHeight="1">
      <c r="A20" s="144"/>
      <c r="B20" s="145"/>
      <c r="C20" s="43"/>
      <c r="D20" s="43"/>
      <c r="E20" s="25"/>
      <c r="F20" s="22"/>
      <c r="G20" s="25"/>
      <c r="H20" s="25"/>
      <c r="I20" s="23"/>
      <c r="J20" s="25" t="str">
        <f t="shared" si="0"/>
        <v/>
      </c>
      <c r="K20" s="25" t="str">
        <f t="shared" si="1"/>
        <v/>
      </c>
      <c r="L20" s="22"/>
      <c r="M20" s="23"/>
      <c r="N20" s="20"/>
      <c r="O20" s="24"/>
    </row>
    <row r="21" spans="1:15" s="6" customFormat="1" ht="14.1" customHeight="1">
      <c r="A21" s="144"/>
      <c r="B21" s="145"/>
      <c r="C21" s="43"/>
      <c r="D21" s="43"/>
      <c r="E21" s="25"/>
      <c r="F21" s="22"/>
      <c r="G21" s="25"/>
      <c r="H21" s="25"/>
      <c r="I21" s="23"/>
      <c r="J21" s="25" t="str">
        <f t="shared" si="0"/>
        <v/>
      </c>
      <c r="K21" s="25" t="str">
        <f t="shared" si="1"/>
        <v/>
      </c>
      <c r="L21" s="22"/>
      <c r="M21" s="23"/>
      <c r="N21" s="20"/>
      <c r="O21" s="24"/>
    </row>
    <row r="22" spans="1:15" s="6" customFormat="1" ht="14.1" customHeight="1">
      <c r="A22" s="144"/>
      <c r="B22" s="145"/>
      <c r="C22" s="43"/>
      <c r="D22" s="43"/>
      <c r="E22" s="25"/>
      <c r="F22" s="22"/>
      <c r="G22" s="25"/>
      <c r="H22" s="25"/>
      <c r="I22" s="23"/>
      <c r="J22" s="25" t="str">
        <f t="shared" si="0"/>
        <v/>
      </c>
      <c r="K22" s="25" t="str">
        <f t="shared" si="1"/>
        <v/>
      </c>
      <c r="L22" s="22"/>
      <c r="M22" s="23"/>
      <c r="N22" s="20"/>
      <c r="O22" s="24"/>
    </row>
    <row r="23" spans="1:15" s="6" customFormat="1" ht="14.1" customHeight="1">
      <c r="A23" s="144"/>
      <c r="B23" s="145"/>
      <c r="C23" s="43"/>
      <c r="D23" s="43"/>
      <c r="E23" s="25"/>
      <c r="F23" s="22"/>
      <c r="G23" s="25"/>
      <c r="H23" s="25"/>
      <c r="I23" s="23"/>
      <c r="J23" s="25" t="str">
        <f t="shared" si="0"/>
        <v/>
      </c>
      <c r="K23" s="25" t="str">
        <f t="shared" si="1"/>
        <v/>
      </c>
      <c r="L23" s="22"/>
      <c r="M23" s="23"/>
      <c r="N23" s="20"/>
      <c r="O23" s="24"/>
    </row>
    <row r="24" spans="1:15" s="6" customFormat="1" ht="14.1" customHeight="1">
      <c r="A24" s="144"/>
      <c r="B24" s="145"/>
      <c r="C24" s="43"/>
      <c r="D24" s="43"/>
      <c r="E24" s="25"/>
      <c r="F24" s="22"/>
      <c r="G24" s="25"/>
      <c r="H24" s="25"/>
      <c r="I24" s="23"/>
      <c r="J24" s="25" t="str">
        <f t="shared" si="0"/>
        <v/>
      </c>
      <c r="K24" s="25" t="str">
        <f t="shared" si="1"/>
        <v/>
      </c>
      <c r="L24" s="22"/>
      <c r="M24" s="23"/>
      <c r="N24" s="20"/>
      <c r="O24" s="24"/>
    </row>
    <row r="25" spans="1:15" s="6" customFormat="1" ht="14.1" customHeight="1">
      <c r="A25" s="144"/>
      <c r="B25" s="145"/>
      <c r="C25" s="43"/>
      <c r="D25" s="43"/>
      <c r="E25" s="43"/>
      <c r="F25" s="22"/>
      <c r="G25" s="43"/>
      <c r="H25" s="43"/>
      <c r="I25" s="23"/>
      <c r="J25" s="25" t="str">
        <f t="shared" si="0"/>
        <v/>
      </c>
      <c r="K25" s="25" t="str">
        <f t="shared" si="1"/>
        <v/>
      </c>
      <c r="L25" s="22"/>
      <c r="M25" s="23"/>
      <c r="N25" s="20"/>
      <c r="O25" s="24"/>
    </row>
    <row r="26" spans="1:15" s="6" customFormat="1" ht="14.1" customHeight="1">
      <c r="A26" s="144"/>
      <c r="B26" s="145"/>
      <c r="C26" s="43"/>
      <c r="D26" s="43"/>
      <c r="E26" s="25"/>
      <c r="F26" s="22"/>
      <c r="G26" s="25"/>
      <c r="H26" s="25"/>
      <c r="I26" s="23"/>
      <c r="J26" s="25" t="str">
        <f t="shared" si="0"/>
        <v/>
      </c>
      <c r="K26" s="25" t="str">
        <f t="shared" si="1"/>
        <v/>
      </c>
      <c r="L26" s="22"/>
      <c r="M26" s="23"/>
      <c r="N26" s="20"/>
      <c r="O26" s="24"/>
    </row>
    <row r="27" spans="1:15" s="6" customFormat="1" ht="14.1" customHeight="1">
      <c r="A27" s="144"/>
      <c r="B27" s="145"/>
      <c r="C27" s="43"/>
      <c r="D27" s="43"/>
      <c r="E27" s="43"/>
      <c r="F27" s="22"/>
      <c r="G27" s="43"/>
      <c r="H27" s="43"/>
      <c r="I27" s="23"/>
      <c r="J27" s="25" t="str">
        <f t="shared" si="0"/>
        <v/>
      </c>
      <c r="K27" s="25" t="str">
        <f t="shared" si="1"/>
        <v/>
      </c>
      <c r="L27" s="22"/>
      <c r="M27" s="23"/>
      <c r="N27" s="20"/>
      <c r="O27" s="24"/>
    </row>
    <row r="28" spans="1:15" s="6" customFormat="1" ht="14.1" customHeight="1">
      <c r="A28" s="144"/>
      <c r="B28" s="145"/>
      <c r="C28" s="43"/>
      <c r="D28" s="43"/>
      <c r="E28" s="25"/>
      <c r="F28" s="22"/>
      <c r="G28" s="25"/>
      <c r="H28" s="25"/>
      <c r="I28" s="23"/>
      <c r="J28" s="25" t="str">
        <f t="shared" si="0"/>
        <v/>
      </c>
      <c r="K28" s="25" t="str">
        <f t="shared" si="1"/>
        <v/>
      </c>
      <c r="L28" s="22"/>
      <c r="M28" s="23"/>
      <c r="N28" s="20"/>
      <c r="O28" s="24"/>
    </row>
    <row r="29" spans="1:15" s="6" customFormat="1" ht="14.1" customHeight="1">
      <c r="A29" s="144"/>
      <c r="B29" s="145"/>
      <c r="C29" s="43"/>
      <c r="D29" s="43"/>
      <c r="E29" s="25"/>
      <c r="F29" s="22"/>
      <c r="G29" s="25"/>
      <c r="H29" s="25"/>
      <c r="I29" s="23"/>
      <c r="J29" s="25" t="str">
        <f t="shared" si="0"/>
        <v/>
      </c>
      <c r="K29" s="25" t="str">
        <f t="shared" si="1"/>
        <v/>
      </c>
      <c r="L29" s="22"/>
      <c r="M29" s="23"/>
      <c r="N29" s="20"/>
      <c r="O29" s="24"/>
    </row>
    <row r="30" spans="1:15" s="6" customFormat="1" ht="14.1" customHeight="1">
      <c r="A30" s="144"/>
      <c r="B30" s="145"/>
      <c r="C30" s="43"/>
      <c r="D30" s="43"/>
      <c r="E30" s="25"/>
      <c r="F30" s="22"/>
      <c r="G30" s="25"/>
      <c r="H30" s="25"/>
      <c r="I30" s="23"/>
      <c r="J30" s="25" t="str">
        <f t="shared" si="0"/>
        <v/>
      </c>
      <c r="K30" s="25" t="str">
        <f t="shared" si="1"/>
        <v/>
      </c>
      <c r="L30" s="22"/>
      <c r="M30" s="23"/>
      <c r="N30" s="20"/>
      <c r="O30" s="24"/>
    </row>
    <row r="31" spans="1:15" s="6" customFormat="1" ht="14.1" customHeight="1">
      <c r="A31" s="144"/>
      <c r="B31" s="145"/>
      <c r="C31" s="43"/>
      <c r="D31" s="43"/>
      <c r="E31" s="25"/>
      <c r="F31" s="22"/>
      <c r="G31" s="25"/>
      <c r="H31" s="25"/>
      <c r="I31" s="23"/>
      <c r="J31" s="25" t="str">
        <f t="shared" si="0"/>
        <v/>
      </c>
      <c r="K31" s="25" t="str">
        <f t="shared" si="1"/>
        <v/>
      </c>
      <c r="L31" s="22"/>
      <c r="M31" s="23"/>
      <c r="N31" s="20"/>
      <c r="O31" s="24"/>
    </row>
    <row r="32" spans="1:15" s="6" customFormat="1" ht="14.1" customHeight="1">
      <c r="A32" s="144"/>
      <c r="B32" s="145"/>
      <c r="C32" s="43"/>
      <c r="D32" s="43"/>
      <c r="E32" s="25"/>
      <c r="F32" s="22"/>
      <c r="G32" s="25"/>
      <c r="H32" s="25"/>
      <c r="I32" s="23"/>
      <c r="J32" s="25" t="str">
        <f t="shared" si="0"/>
        <v/>
      </c>
      <c r="K32" s="25" t="str">
        <f t="shared" si="1"/>
        <v/>
      </c>
      <c r="L32" s="22"/>
      <c r="M32" s="23"/>
      <c r="N32" s="20"/>
      <c r="O32" s="24"/>
    </row>
    <row r="33" spans="1:15" s="6" customFormat="1" ht="14.1" customHeight="1">
      <c r="A33" s="144"/>
      <c r="B33" s="145"/>
      <c r="C33" s="43"/>
      <c r="D33" s="43"/>
      <c r="E33" s="25"/>
      <c r="F33" s="22"/>
      <c r="G33" s="25"/>
      <c r="H33" s="25"/>
      <c r="I33" s="23"/>
      <c r="J33" s="25" t="str">
        <f t="shared" si="0"/>
        <v/>
      </c>
      <c r="K33" s="25" t="str">
        <f t="shared" si="1"/>
        <v/>
      </c>
      <c r="L33" s="22"/>
      <c r="M33" s="23"/>
      <c r="N33" s="20"/>
      <c r="O33" s="24"/>
    </row>
    <row r="34" spans="1:15" s="6" customFormat="1" ht="14.1" customHeight="1">
      <c r="A34" s="144"/>
      <c r="B34" s="145"/>
      <c r="C34" s="43"/>
      <c r="D34" s="43"/>
      <c r="E34" s="25"/>
      <c r="F34" s="22"/>
      <c r="G34" s="25"/>
      <c r="H34" s="25"/>
      <c r="I34" s="23"/>
      <c r="J34" s="25" t="str">
        <f t="shared" si="0"/>
        <v/>
      </c>
      <c r="K34" s="25" t="str">
        <f t="shared" si="1"/>
        <v/>
      </c>
      <c r="L34" s="22"/>
      <c r="M34" s="23"/>
      <c r="N34" s="20"/>
      <c r="O34" s="24"/>
    </row>
    <row r="35" spans="1:15" s="6" customFormat="1" ht="14.1" customHeight="1">
      <c r="A35" s="144"/>
      <c r="B35" s="145"/>
      <c r="C35" s="43"/>
      <c r="D35" s="43"/>
      <c r="E35" s="25"/>
      <c r="F35" s="22"/>
      <c r="G35" s="25"/>
      <c r="H35" s="25"/>
      <c r="I35" s="23"/>
      <c r="J35" s="25" t="str">
        <f t="shared" si="0"/>
        <v/>
      </c>
      <c r="K35" s="25" t="str">
        <f t="shared" si="1"/>
        <v/>
      </c>
      <c r="L35" s="22"/>
      <c r="M35" s="23"/>
      <c r="N35" s="20"/>
      <c r="O35" s="24"/>
    </row>
    <row r="36" spans="1:15" s="6" customFormat="1" ht="14.1" customHeight="1">
      <c r="A36" s="144"/>
      <c r="B36" s="145"/>
      <c r="C36" s="43"/>
      <c r="D36" s="43"/>
      <c r="E36" s="25"/>
      <c r="F36" s="22"/>
      <c r="G36" s="25"/>
      <c r="H36" s="25"/>
      <c r="I36" s="23"/>
      <c r="J36" s="25" t="str">
        <f t="shared" si="0"/>
        <v/>
      </c>
      <c r="K36" s="25" t="str">
        <f t="shared" si="1"/>
        <v/>
      </c>
      <c r="L36" s="22"/>
      <c r="M36" s="23"/>
      <c r="N36" s="20"/>
      <c r="O36" s="24"/>
    </row>
    <row r="37" spans="1:15" s="6" customFormat="1" ht="14.1" customHeight="1">
      <c r="A37" s="144"/>
      <c r="B37" s="145"/>
      <c r="C37" s="43"/>
      <c r="D37" s="43"/>
      <c r="E37" s="25"/>
      <c r="F37" s="22"/>
      <c r="G37" s="25"/>
      <c r="H37" s="25"/>
      <c r="I37" s="23"/>
      <c r="J37" s="25" t="str">
        <f t="shared" si="0"/>
        <v/>
      </c>
      <c r="K37" s="25" t="str">
        <f t="shared" si="1"/>
        <v/>
      </c>
      <c r="L37" s="22"/>
      <c r="M37" s="23"/>
      <c r="N37" s="20"/>
      <c r="O37" s="24"/>
    </row>
    <row r="38" spans="1:15" s="6" customFormat="1" ht="14.1" customHeight="1">
      <c r="A38" s="144"/>
      <c r="B38" s="145"/>
      <c r="C38" s="43"/>
      <c r="D38" s="43"/>
      <c r="E38" s="25"/>
      <c r="F38" s="22"/>
      <c r="G38" s="25"/>
      <c r="H38" s="25"/>
      <c r="I38" s="23"/>
      <c r="J38" s="25" t="str">
        <f t="shared" si="0"/>
        <v/>
      </c>
      <c r="K38" s="25" t="str">
        <f t="shared" si="1"/>
        <v/>
      </c>
      <c r="L38" s="22"/>
      <c r="M38" s="23"/>
      <c r="N38" s="20"/>
      <c r="O38" s="24"/>
    </row>
    <row r="39" spans="1:15" s="6" customFormat="1" ht="14.1" customHeight="1">
      <c r="A39" s="144"/>
      <c r="B39" s="145"/>
      <c r="C39" s="43"/>
      <c r="D39" s="43"/>
      <c r="E39" s="25"/>
      <c r="F39" s="22"/>
      <c r="G39" s="25"/>
      <c r="H39" s="25"/>
      <c r="I39" s="23"/>
      <c r="J39" s="25" t="str">
        <f t="shared" si="0"/>
        <v/>
      </c>
      <c r="K39" s="25" t="str">
        <f t="shared" si="1"/>
        <v/>
      </c>
      <c r="L39" s="22"/>
      <c r="M39" s="23"/>
      <c r="N39" s="20"/>
      <c r="O39" s="24"/>
    </row>
    <row r="40" spans="1:15" s="6" customFormat="1" ht="14.1" customHeight="1">
      <c r="A40" s="144"/>
      <c r="B40" s="145"/>
      <c r="C40" s="43"/>
      <c r="D40" s="43"/>
      <c r="E40" s="25"/>
      <c r="F40" s="22"/>
      <c r="G40" s="25"/>
      <c r="H40" s="25"/>
      <c r="I40" s="23"/>
      <c r="J40" s="25" t="str">
        <f t="shared" si="0"/>
        <v/>
      </c>
      <c r="K40" s="25" t="str">
        <f t="shared" si="1"/>
        <v/>
      </c>
      <c r="L40" s="22"/>
      <c r="M40" s="23"/>
      <c r="N40" s="20"/>
      <c r="O40" s="24"/>
    </row>
    <row r="41" spans="1:15" s="6" customFormat="1" ht="14.1" customHeight="1">
      <c r="A41" s="144"/>
      <c r="B41" s="145"/>
      <c r="C41" s="43"/>
      <c r="D41" s="43"/>
      <c r="E41" s="25"/>
      <c r="F41" s="22"/>
      <c r="G41" s="25"/>
      <c r="H41" s="25"/>
      <c r="I41" s="23"/>
      <c r="J41" s="25" t="str">
        <f t="shared" si="0"/>
        <v/>
      </c>
      <c r="K41" s="25" t="str">
        <f t="shared" si="1"/>
        <v/>
      </c>
      <c r="L41" s="22"/>
      <c r="M41" s="23"/>
      <c r="N41" s="20"/>
      <c r="O41" s="24"/>
    </row>
    <row r="42" spans="1:15" s="6" customFormat="1" ht="14.1" customHeight="1">
      <c r="A42" s="144"/>
      <c r="B42" s="145"/>
      <c r="C42" s="43"/>
      <c r="D42" s="43"/>
      <c r="E42" s="25"/>
      <c r="F42" s="22"/>
      <c r="G42" s="25"/>
      <c r="H42" s="25"/>
      <c r="I42" s="23"/>
      <c r="J42" s="25" t="str">
        <f t="shared" si="0"/>
        <v/>
      </c>
      <c r="K42" s="25" t="str">
        <f t="shared" si="1"/>
        <v/>
      </c>
      <c r="L42" s="22"/>
      <c r="M42" s="23"/>
      <c r="N42" s="20"/>
      <c r="O42" s="24"/>
    </row>
    <row r="43" spans="1:15" s="6" customFormat="1" ht="14.1" customHeight="1">
      <c r="A43" s="144"/>
      <c r="B43" s="145"/>
      <c r="C43" s="43"/>
      <c r="D43" s="43"/>
      <c r="E43" s="25"/>
      <c r="F43" s="22"/>
      <c r="G43" s="25"/>
      <c r="H43" s="25"/>
      <c r="I43" s="23"/>
      <c r="J43" s="25" t="str">
        <f t="shared" si="0"/>
        <v/>
      </c>
      <c r="K43" s="25" t="str">
        <f t="shared" si="1"/>
        <v/>
      </c>
      <c r="L43" s="22"/>
      <c r="M43" s="23"/>
      <c r="N43" s="20"/>
      <c r="O43" s="24"/>
    </row>
    <row r="44" spans="1:15" s="6" customFormat="1" ht="14.1" customHeight="1">
      <c r="A44" s="144"/>
      <c r="B44" s="145"/>
      <c r="C44" s="43"/>
      <c r="D44" s="43"/>
      <c r="E44" s="25"/>
      <c r="F44" s="22"/>
      <c r="G44" s="25"/>
      <c r="H44" s="25"/>
      <c r="I44" s="23"/>
      <c r="J44" s="25" t="str">
        <f t="shared" si="0"/>
        <v/>
      </c>
      <c r="K44" s="25" t="str">
        <f t="shared" si="1"/>
        <v/>
      </c>
      <c r="L44" s="22"/>
      <c r="M44" s="23"/>
      <c r="N44" s="20"/>
      <c r="O44" s="24"/>
    </row>
    <row r="45" spans="1:15" s="6" customFormat="1" ht="14.1" customHeight="1">
      <c r="A45" s="144"/>
      <c r="B45" s="145"/>
      <c r="C45" s="43"/>
      <c r="D45" s="43"/>
      <c r="E45" s="25"/>
      <c r="F45" s="22"/>
      <c r="G45" s="25"/>
      <c r="H45" s="25"/>
      <c r="I45" s="23"/>
      <c r="J45" s="25" t="str">
        <f t="shared" si="0"/>
        <v/>
      </c>
      <c r="K45" s="25" t="str">
        <f t="shared" si="1"/>
        <v/>
      </c>
      <c r="L45" s="22"/>
      <c r="M45" s="23"/>
      <c r="N45" s="20"/>
      <c r="O45" s="24"/>
    </row>
    <row r="46" spans="1:15" s="6" customFormat="1" ht="14.1" customHeight="1">
      <c r="A46" s="144"/>
      <c r="B46" s="145"/>
      <c r="C46" s="43"/>
      <c r="D46" s="43"/>
      <c r="E46" s="25"/>
      <c r="F46" s="22"/>
      <c r="G46" s="25"/>
      <c r="H46" s="25"/>
      <c r="I46" s="23"/>
      <c r="J46" s="25" t="str">
        <f t="shared" si="0"/>
        <v/>
      </c>
      <c r="K46" s="25" t="str">
        <f t="shared" si="1"/>
        <v/>
      </c>
      <c r="L46" s="22"/>
      <c r="M46" s="23"/>
      <c r="N46" s="20"/>
      <c r="O46" s="24"/>
    </row>
    <row r="47" spans="1:15" s="6" customFormat="1" ht="14.1" customHeight="1">
      <c r="A47" s="144"/>
      <c r="B47" s="145"/>
      <c r="C47" s="43"/>
      <c r="D47" s="43"/>
      <c r="E47" s="25"/>
      <c r="F47" s="22"/>
      <c r="G47" s="25"/>
      <c r="H47" s="25"/>
      <c r="I47" s="23"/>
      <c r="J47" s="25" t="str">
        <f t="shared" si="0"/>
        <v/>
      </c>
      <c r="K47" s="25" t="str">
        <f t="shared" si="1"/>
        <v/>
      </c>
      <c r="L47" s="22"/>
      <c r="M47" s="23"/>
      <c r="N47" s="20"/>
      <c r="O47" s="24"/>
    </row>
    <row r="48" spans="1:15" s="6" customFormat="1" ht="14.1" customHeight="1">
      <c r="A48" s="146"/>
      <c r="B48" s="147"/>
      <c r="C48" s="43"/>
      <c r="D48" s="43"/>
      <c r="E48" s="25"/>
      <c r="F48" s="22"/>
      <c r="G48" s="25"/>
      <c r="H48" s="25"/>
      <c r="I48" s="23"/>
      <c r="J48" s="25" t="str">
        <f t="shared" si="0"/>
        <v/>
      </c>
      <c r="K48" s="25" t="str">
        <f t="shared" si="1"/>
        <v/>
      </c>
      <c r="L48" s="22"/>
      <c r="M48" s="23"/>
      <c r="N48" s="20"/>
      <c r="O48" s="24"/>
    </row>
    <row r="49" spans="1:15" s="6" customFormat="1" ht="14.1" customHeight="1">
      <c r="A49" s="146"/>
      <c r="B49" s="147"/>
      <c r="C49" s="43"/>
      <c r="D49" s="43"/>
      <c r="E49" s="25"/>
      <c r="F49" s="22"/>
      <c r="G49" s="25"/>
      <c r="H49" s="25"/>
      <c r="I49" s="23"/>
      <c r="J49" s="25" t="str">
        <f t="shared" si="0"/>
        <v/>
      </c>
      <c r="K49" s="25" t="str">
        <f t="shared" si="1"/>
        <v/>
      </c>
      <c r="L49" s="22"/>
      <c r="M49" s="23"/>
      <c r="N49" s="20"/>
      <c r="O49" s="24"/>
    </row>
    <row r="50" spans="1:15" s="6" customFormat="1" ht="14.1" customHeight="1">
      <c r="A50" s="146"/>
      <c r="B50" s="147"/>
      <c r="C50" s="43"/>
      <c r="D50" s="43"/>
      <c r="E50" s="43"/>
      <c r="F50" s="22"/>
      <c r="G50" s="43"/>
      <c r="H50" s="43"/>
      <c r="I50" s="23"/>
      <c r="J50" s="25" t="str">
        <f t="shared" si="0"/>
        <v/>
      </c>
      <c r="K50" s="25" t="str">
        <f t="shared" si="1"/>
        <v/>
      </c>
      <c r="L50" s="22"/>
      <c r="M50" s="23"/>
      <c r="N50" s="20"/>
      <c r="O50" s="16"/>
    </row>
    <row r="51" spans="1:15" s="6" customFormat="1" ht="14.1" customHeight="1">
      <c r="A51" s="146"/>
      <c r="B51" s="147"/>
      <c r="C51" s="43"/>
      <c r="D51" s="43"/>
      <c r="E51" s="43"/>
      <c r="F51" s="22"/>
      <c r="G51" s="43"/>
      <c r="H51" s="43"/>
      <c r="I51" s="23"/>
      <c r="J51" s="25" t="str">
        <f t="shared" si="0"/>
        <v/>
      </c>
      <c r="K51" s="25" t="str">
        <f t="shared" si="1"/>
        <v/>
      </c>
      <c r="L51" s="22"/>
      <c r="M51" s="23"/>
      <c r="N51" s="20"/>
      <c r="O51" s="16"/>
    </row>
    <row r="52" spans="1:15" s="6" customFormat="1" ht="14.1" customHeight="1">
      <c r="A52" s="146"/>
      <c r="B52" s="147"/>
      <c r="C52" s="43"/>
      <c r="D52" s="43"/>
      <c r="E52" s="43"/>
      <c r="F52" s="22"/>
      <c r="G52" s="43"/>
      <c r="H52" s="43"/>
      <c r="I52" s="23"/>
      <c r="J52" s="25" t="str">
        <f t="shared" si="0"/>
        <v/>
      </c>
      <c r="K52" s="25" t="str">
        <f t="shared" si="1"/>
        <v/>
      </c>
      <c r="L52" s="22"/>
      <c r="M52" s="23"/>
      <c r="N52" s="20"/>
      <c r="O52" s="16"/>
    </row>
    <row r="53" spans="1:15" s="6" customFormat="1" ht="14.1" customHeight="1">
      <c r="A53" s="146"/>
      <c r="B53" s="147"/>
      <c r="C53" s="43"/>
      <c r="D53" s="43"/>
      <c r="E53" s="43"/>
      <c r="F53" s="22"/>
      <c r="G53" s="43"/>
      <c r="H53" s="43"/>
      <c r="I53" s="23"/>
      <c r="J53" s="25" t="str">
        <f t="shared" si="0"/>
        <v/>
      </c>
      <c r="K53" s="25" t="str">
        <f t="shared" si="1"/>
        <v/>
      </c>
      <c r="L53" s="22"/>
      <c r="M53" s="23"/>
      <c r="N53" s="20"/>
      <c r="O53" s="16"/>
    </row>
    <row r="54" spans="1:15" s="6" customFormat="1" ht="14.1" customHeight="1">
      <c r="A54" s="146"/>
      <c r="B54" s="147"/>
      <c r="C54" s="43"/>
      <c r="D54" s="43"/>
      <c r="E54" s="43"/>
      <c r="F54" s="22"/>
      <c r="G54" s="43"/>
      <c r="H54" s="43"/>
      <c r="I54" s="23"/>
      <c r="J54" s="25" t="str">
        <f t="shared" si="0"/>
        <v/>
      </c>
      <c r="K54" s="25" t="str">
        <f t="shared" si="1"/>
        <v/>
      </c>
      <c r="L54" s="22"/>
      <c r="M54" s="23"/>
      <c r="N54" s="20"/>
      <c r="O54" s="16"/>
    </row>
    <row r="55" spans="1:15" s="6" customFormat="1" ht="14.1" customHeight="1">
      <c r="A55" s="146"/>
      <c r="B55" s="147"/>
      <c r="C55" s="43"/>
      <c r="D55" s="43"/>
      <c r="E55" s="43"/>
      <c r="F55" s="22"/>
      <c r="G55" s="43"/>
      <c r="H55" s="43"/>
      <c r="I55" s="23"/>
      <c r="J55" s="25" t="str">
        <f t="shared" si="0"/>
        <v/>
      </c>
      <c r="K55" s="25" t="str">
        <f t="shared" si="1"/>
        <v/>
      </c>
      <c r="L55" s="22"/>
      <c r="M55" s="23"/>
      <c r="N55" s="20"/>
      <c r="O55" s="16"/>
    </row>
    <row r="56" spans="1:15" s="6" customFormat="1" ht="14.1" customHeight="1">
      <c r="A56" s="146"/>
      <c r="B56" s="147"/>
      <c r="C56" s="43"/>
      <c r="D56" s="43"/>
      <c r="E56" s="43"/>
      <c r="F56" s="22"/>
      <c r="G56" s="43"/>
      <c r="H56" s="43"/>
      <c r="I56" s="23"/>
      <c r="J56" s="25" t="str">
        <f t="shared" si="0"/>
        <v/>
      </c>
      <c r="K56" s="25" t="str">
        <f t="shared" si="1"/>
        <v/>
      </c>
      <c r="L56" s="22"/>
      <c r="M56" s="23"/>
      <c r="N56" s="20"/>
      <c r="O56" s="16"/>
    </row>
    <row r="57" spans="1:15" s="6" customFormat="1" ht="14.1" customHeight="1">
      <c r="A57" s="146"/>
      <c r="B57" s="147"/>
      <c r="C57" s="43"/>
      <c r="D57" s="43"/>
      <c r="E57" s="43"/>
      <c r="F57" s="22"/>
      <c r="G57" s="43"/>
      <c r="H57" s="43"/>
      <c r="I57" s="23"/>
      <c r="J57" s="25" t="str">
        <f t="shared" si="0"/>
        <v/>
      </c>
      <c r="K57" s="25" t="str">
        <f t="shared" si="1"/>
        <v/>
      </c>
      <c r="L57" s="22"/>
      <c r="M57" s="23"/>
      <c r="N57" s="20"/>
      <c r="O57" s="16"/>
    </row>
    <row r="58" spans="1:15" s="6" customFormat="1" ht="14.1" customHeight="1">
      <c r="A58" s="146"/>
      <c r="B58" s="147"/>
      <c r="C58" s="43"/>
      <c r="D58" s="43"/>
      <c r="E58" s="43"/>
      <c r="F58" s="22"/>
      <c r="G58" s="43"/>
      <c r="H58" s="43"/>
      <c r="I58" s="23"/>
      <c r="J58" s="25" t="str">
        <f t="shared" si="0"/>
        <v/>
      </c>
      <c r="K58" s="25" t="str">
        <f t="shared" si="1"/>
        <v/>
      </c>
      <c r="L58" s="22"/>
      <c r="M58" s="23"/>
      <c r="N58" s="20"/>
      <c r="O58" s="16"/>
    </row>
    <row r="59" spans="1:15" s="6" customFormat="1" ht="14.1" customHeight="1">
      <c r="A59" s="146"/>
      <c r="B59" s="147"/>
      <c r="C59" s="43"/>
      <c r="D59" s="43"/>
      <c r="E59" s="43"/>
      <c r="F59" s="22"/>
      <c r="G59" s="43"/>
      <c r="H59" s="43"/>
      <c r="I59" s="23"/>
      <c r="J59" s="25" t="str">
        <f t="shared" si="0"/>
        <v/>
      </c>
      <c r="K59" s="25" t="str">
        <f t="shared" si="1"/>
        <v/>
      </c>
      <c r="L59" s="22"/>
      <c r="M59" s="23"/>
      <c r="N59" s="20"/>
      <c r="O59" s="16"/>
    </row>
    <row r="60" spans="1:15" s="6" customFormat="1" ht="14.1" customHeight="1">
      <c r="A60" s="146"/>
      <c r="B60" s="147"/>
      <c r="C60" s="43"/>
      <c r="D60" s="43"/>
      <c r="E60" s="43"/>
      <c r="F60" s="22"/>
      <c r="G60" s="43"/>
      <c r="H60" s="43"/>
      <c r="I60" s="23"/>
      <c r="J60" s="25" t="str">
        <f t="shared" si="0"/>
        <v/>
      </c>
      <c r="K60" s="25" t="str">
        <f t="shared" si="1"/>
        <v/>
      </c>
      <c r="L60" s="22"/>
      <c r="M60" s="23"/>
      <c r="N60" s="20"/>
      <c r="O60" s="16"/>
    </row>
    <row r="61" spans="1:15" s="6" customFormat="1" ht="14.1" customHeight="1">
      <c r="A61" s="146"/>
      <c r="B61" s="147"/>
      <c r="C61" s="43"/>
      <c r="D61" s="43"/>
      <c r="E61" s="43"/>
      <c r="F61" s="22"/>
      <c r="G61" s="43"/>
      <c r="H61" s="43"/>
      <c r="I61" s="23"/>
      <c r="J61" s="25" t="str">
        <f t="shared" si="0"/>
        <v/>
      </c>
      <c r="K61" s="25" t="str">
        <f t="shared" si="1"/>
        <v/>
      </c>
      <c r="L61" s="22"/>
      <c r="M61" s="23"/>
      <c r="N61" s="20"/>
      <c r="O61" s="16"/>
    </row>
    <row r="62" spans="1:15" s="6" customFormat="1" ht="14.1" customHeight="1">
      <c r="A62" s="146"/>
      <c r="B62" s="147"/>
      <c r="C62" s="43"/>
      <c r="D62" s="43"/>
      <c r="E62" s="43"/>
      <c r="F62" s="22"/>
      <c r="G62" s="43"/>
      <c r="H62" s="43"/>
      <c r="I62" s="23"/>
      <c r="J62" s="25" t="str">
        <f t="shared" si="0"/>
        <v/>
      </c>
      <c r="K62" s="25" t="str">
        <f t="shared" si="1"/>
        <v/>
      </c>
      <c r="L62" s="22"/>
      <c r="M62" s="23"/>
      <c r="N62" s="20"/>
      <c r="O62" s="16"/>
    </row>
    <row r="63" spans="1:15" s="6" customFormat="1" ht="14.1" customHeight="1">
      <c r="A63" s="146"/>
      <c r="B63" s="147"/>
      <c r="C63" s="43"/>
      <c r="D63" s="43"/>
      <c r="E63" s="43"/>
      <c r="F63" s="22"/>
      <c r="G63" s="43"/>
      <c r="H63" s="43"/>
      <c r="I63" s="23"/>
      <c r="J63" s="25" t="str">
        <f t="shared" si="0"/>
        <v/>
      </c>
      <c r="K63" s="25" t="str">
        <f t="shared" si="1"/>
        <v/>
      </c>
      <c r="L63" s="22"/>
      <c r="M63" s="23"/>
      <c r="N63" s="20"/>
      <c r="O63" s="16"/>
    </row>
    <row r="64" spans="1:15" s="6" customFormat="1" ht="14.1" customHeight="1">
      <c r="A64" s="146"/>
      <c r="B64" s="147"/>
      <c r="C64" s="43"/>
      <c r="D64" s="43"/>
      <c r="E64" s="43"/>
      <c r="F64" s="22"/>
      <c r="G64" s="43"/>
      <c r="H64" s="43"/>
      <c r="I64" s="23"/>
      <c r="J64" s="25" t="str">
        <f t="shared" si="0"/>
        <v/>
      </c>
      <c r="K64" s="25" t="str">
        <f t="shared" si="1"/>
        <v/>
      </c>
      <c r="L64" s="22"/>
      <c r="M64" s="23"/>
      <c r="N64" s="20"/>
      <c r="O64" s="16"/>
    </row>
    <row r="65" spans="1:15" s="6" customFormat="1" ht="14.1" customHeight="1">
      <c r="A65" s="146"/>
      <c r="B65" s="147"/>
      <c r="C65" s="43"/>
      <c r="D65" s="43"/>
      <c r="E65" s="43"/>
      <c r="F65" s="22"/>
      <c r="G65" s="43"/>
      <c r="H65" s="43"/>
      <c r="I65" s="23"/>
      <c r="J65" s="25" t="str">
        <f t="shared" si="0"/>
        <v/>
      </c>
      <c r="K65" s="25" t="str">
        <f t="shared" si="1"/>
        <v/>
      </c>
      <c r="L65" s="22"/>
      <c r="M65" s="23"/>
      <c r="N65" s="20"/>
      <c r="O65" s="16"/>
    </row>
    <row r="66" spans="1:15" s="6" customFormat="1" ht="14.1" customHeight="1">
      <c r="A66" s="146"/>
      <c r="B66" s="147"/>
      <c r="C66" s="43"/>
      <c r="D66" s="43"/>
      <c r="E66" s="43"/>
      <c r="F66" s="22"/>
      <c r="G66" s="43"/>
      <c r="H66" s="43"/>
      <c r="I66" s="23"/>
      <c r="J66" s="25" t="str">
        <f t="shared" si="0"/>
        <v/>
      </c>
      <c r="K66" s="25" t="str">
        <f t="shared" si="1"/>
        <v/>
      </c>
      <c r="L66" s="22"/>
      <c r="M66" s="23"/>
      <c r="N66" s="20"/>
      <c r="O66" s="16"/>
    </row>
    <row r="67" spans="1:15" s="6" customFormat="1" ht="14.1" customHeight="1">
      <c r="A67" s="146"/>
      <c r="B67" s="147"/>
      <c r="C67" s="43"/>
      <c r="D67" s="43"/>
      <c r="E67" s="43"/>
      <c r="F67" s="22"/>
      <c r="G67" s="43"/>
      <c r="H67" s="43"/>
      <c r="I67" s="23"/>
      <c r="J67" s="25" t="str">
        <f t="shared" si="0"/>
        <v/>
      </c>
      <c r="K67" s="25" t="str">
        <f t="shared" si="1"/>
        <v/>
      </c>
      <c r="L67" s="22"/>
      <c r="M67" s="23"/>
      <c r="N67" s="20"/>
      <c r="O67" s="16"/>
    </row>
    <row r="68" spans="1:15" s="6" customFormat="1" ht="14.1" customHeight="1">
      <c r="A68" s="146"/>
      <c r="B68" s="147"/>
      <c r="C68" s="43"/>
      <c r="D68" s="43"/>
      <c r="E68" s="43"/>
      <c r="F68" s="22"/>
      <c r="G68" s="43"/>
      <c r="H68" s="43"/>
      <c r="I68" s="23"/>
      <c r="J68" s="25" t="str">
        <f t="shared" si="0"/>
        <v/>
      </c>
      <c r="K68" s="25" t="str">
        <f t="shared" si="1"/>
        <v/>
      </c>
      <c r="L68" s="22"/>
      <c r="M68" s="23"/>
      <c r="N68" s="20"/>
      <c r="O68" s="16"/>
    </row>
    <row r="69" spans="1:15" s="6" customFormat="1" ht="14.1" customHeight="1">
      <c r="A69" s="146"/>
      <c r="B69" s="147"/>
      <c r="C69" s="43"/>
      <c r="D69" s="43"/>
      <c r="E69" s="43"/>
      <c r="F69" s="22"/>
      <c r="G69" s="43"/>
      <c r="H69" s="43"/>
      <c r="I69" s="23"/>
      <c r="J69" s="25" t="str">
        <f t="shared" si="0"/>
        <v/>
      </c>
      <c r="K69" s="25" t="str">
        <f t="shared" si="1"/>
        <v/>
      </c>
      <c r="L69" s="22"/>
      <c r="M69" s="23"/>
      <c r="N69" s="20"/>
      <c r="O69" s="16"/>
    </row>
    <row r="70" spans="1:15" s="6" customFormat="1" ht="14.1" customHeight="1">
      <c r="A70" s="146"/>
      <c r="B70" s="147"/>
      <c r="C70" s="43"/>
      <c r="D70" s="43"/>
      <c r="E70" s="43"/>
      <c r="F70" s="22"/>
      <c r="G70" s="43"/>
      <c r="H70" s="43"/>
      <c r="I70" s="23"/>
      <c r="J70" s="25" t="str">
        <f t="shared" si="0"/>
        <v/>
      </c>
      <c r="K70" s="25" t="str">
        <f t="shared" si="1"/>
        <v/>
      </c>
      <c r="L70" s="22"/>
      <c r="M70" s="23"/>
      <c r="N70" s="20"/>
      <c r="O70" s="16"/>
    </row>
    <row r="71" spans="1:15" s="6" customFormat="1" ht="14.1" customHeight="1">
      <c r="A71" s="146"/>
      <c r="B71" s="147"/>
      <c r="C71" s="43"/>
      <c r="D71" s="43"/>
      <c r="E71" s="43"/>
      <c r="F71" s="22"/>
      <c r="G71" s="43"/>
      <c r="H71" s="43"/>
      <c r="I71" s="23"/>
      <c r="J71" s="25" t="str">
        <f t="shared" si="0"/>
        <v/>
      </c>
      <c r="K71" s="25" t="str">
        <f t="shared" si="1"/>
        <v/>
      </c>
      <c r="L71" s="22"/>
      <c r="M71" s="23"/>
      <c r="N71" s="20"/>
      <c r="O71" s="16"/>
    </row>
    <row r="72" spans="1:15" s="6" customFormat="1" ht="14.1" customHeight="1">
      <c r="A72" s="146"/>
      <c r="B72" s="147"/>
      <c r="C72" s="43"/>
      <c r="D72" s="43"/>
      <c r="E72" s="43"/>
      <c r="F72" s="22"/>
      <c r="G72" s="43"/>
      <c r="H72" s="43"/>
      <c r="I72" s="23"/>
      <c r="J72" s="25" t="str">
        <f t="shared" si="0"/>
        <v/>
      </c>
      <c r="K72" s="25" t="str">
        <f t="shared" si="1"/>
        <v/>
      </c>
      <c r="L72" s="22"/>
      <c r="M72" s="23"/>
      <c r="N72" s="20"/>
      <c r="O72" s="16"/>
    </row>
    <row r="73" spans="1:15" s="6" customFormat="1" ht="14.1" customHeight="1">
      <c r="A73" s="146"/>
      <c r="B73" s="147"/>
      <c r="C73" s="43"/>
      <c r="D73" s="43"/>
      <c r="E73" s="43"/>
      <c r="F73" s="22"/>
      <c r="G73" s="43"/>
      <c r="H73" s="43"/>
      <c r="I73" s="23"/>
      <c r="J73" s="25" t="str">
        <f t="shared" si="0"/>
        <v/>
      </c>
      <c r="K73" s="25" t="str">
        <f t="shared" si="1"/>
        <v/>
      </c>
      <c r="L73" s="22"/>
      <c r="M73" s="23"/>
      <c r="N73" s="20"/>
      <c r="O73" s="16"/>
    </row>
    <row r="74" spans="1:15" s="6" customFormat="1" ht="14.1" customHeight="1">
      <c r="A74" s="146"/>
      <c r="B74" s="147"/>
      <c r="C74" s="43"/>
      <c r="D74" s="43"/>
      <c r="E74" s="43"/>
      <c r="F74" s="22"/>
      <c r="G74" s="43"/>
      <c r="H74" s="43"/>
      <c r="I74" s="23"/>
      <c r="J74" s="25" t="str">
        <f t="shared" si="0"/>
        <v/>
      </c>
      <c r="K74" s="25" t="str">
        <f t="shared" si="1"/>
        <v/>
      </c>
      <c r="L74" s="22"/>
      <c r="M74" s="23"/>
      <c r="N74" s="20"/>
      <c r="O74" s="16"/>
    </row>
    <row r="75" spans="1:15" s="6" customFormat="1" ht="14.1" customHeight="1">
      <c r="A75" s="146"/>
      <c r="B75" s="147"/>
      <c r="C75" s="43"/>
      <c r="D75" s="43"/>
      <c r="E75" s="43"/>
      <c r="F75" s="22"/>
      <c r="G75" s="43"/>
      <c r="H75" s="43"/>
      <c r="I75" s="23"/>
      <c r="J75" s="25" t="str">
        <f t="shared" si="0"/>
        <v/>
      </c>
      <c r="K75" s="25" t="str">
        <f t="shared" si="1"/>
        <v/>
      </c>
      <c r="L75" s="22"/>
      <c r="M75" s="23"/>
      <c r="N75" s="20"/>
      <c r="O75" s="16"/>
    </row>
    <row r="76" spans="1:15" s="6" customFormat="1" ht="14.1" customHeight="1">
      <c r="A76" s="146"/>
      <c r="B76" s="147"/>
      <c r="C76" s="43"/>
      <c r="D76" s="43"/>
      <c r="E76" s="43"/>
      <c r="F76" s="22"/>
      <c r="G76" s="43"/>
      <c r="H76" s="43"/>
      <c r="I76" s="23"/>
      <c r="J76" s="25" t="str">
        <f t="shared" si="0"/>
        <v/>
      </c>
      <c r="K76" s="25" t="str">
        <f t="shared" si="1"/>
        <v/>
      </c>
      <c r="L76" s="22"/>
      <c r="M76" s="23"/>
      <c r="N76" s="20"/>
      <c r="O76" s="16"/>
    </row>
    <row r="77" spans="1:15" s="6" customFormat="1" ht="14.1" customHeight="1">
      <c r="A77" s="146"/>
      <c r="B77" s="147"/>
      <c r="C77" s="43"/>
      <c r="D77" s="43"/>
      <c r="E77" s="43"/>
      <c r="F77" s="22"/>
      <c r="G77" s="43"/>
      <c r="H77" s="43"/>
      <c r="I77" s="23"/>
      <c r="J77" s="25" t="str">
        <f t="shared" ref="J77:J140" si="2">IF(D77&lt;&gt;"",D77,"")</f>
        <v/>
      </c>
      <c r="K77" s="25" t="str">
        <f t="shared" ref="K77:K140" si="3">IF(D77="Passed",E77,IF(D77="Warning",E77,""))</f>
        <v/>
      </c>
      <c r="L77" s="22"/>
      <c r="M77" s="23"/>
      <c r="N77" s="20"/>
      <c r="O77" s="16"/>
    </row>
    <row r="78" spans="1:15" s="6" customFormat="1" ht="14.1" customHeight="1">
      <c r="A78" s="146"/>
      <c r="B78" s="147"/>
      <c r="C78" s="43"/>
      <c r="D78" s="43"/>
      <c r="E78" s="43"/>
      <c r="F78" s="22"/>
      <c r="G78" s="43"/>
      <c r="H78" s="43"/>
      <c r="I78" s="23"/>
      <c r="J78" s="25" t="str">
        <f t="shared" si="2"/>
        <v/>
      </c>
      <c r="K78" s="25" t="str">
        <f t="shared" si="3"/>
        <v/>
      </c>
      <c r="L78" s="22"/>
      <c r="M78" s="23"/>
      <c r="N78" s="20"/>
      <c r="O78" s="16"/>
    </row>
    <row r="79" spans="1:15" s="6" customFormat="1" ht="14.1" customHeight="1">
      <c r="A79" s="146"/>
      <c r="B79" s="147"/>
      <c r="C79" s="43"/>
      <c r="D79" s="43"/>
      <c r="E79" s="43"/>
      <c r="F79" s="22"/>
      <c r="G79" s="43"/>
      <c r="H79" s="43"/>
      <c r="I79" s="23"/>
      <c r="J79" s="25" t="str">
        <f t="shared" si="2"/>
        <v/>
      </c>
      <c r="K79" s="25" t="str">
        <f t="shared" si="3"/>
        <v/>
      </c>
      <c r="L79" s="22"/>
      <c r="M79" s="23"/>
      <c r="N79" s="20"/>
      <c r="O79" s="16"/>
    </row>
    <row r="80" spans="1:15" s="6" customFormat="1" ht="14.1" customHeight="1">
      <c r="A80" s="146"/>
      <c r="B80" s="147"/>
      <c r="C80" s="43"/>
      <c r="D80" s="43"/>
      <c r="E80" s="43"/>
      <c r="F80" s="22"/>
      <c r="G80" s="43"/>
      <c r="H80" s="43"/>
      <c r="I80" s="23"/>
      <c r="J80" s="25" t="str">
        <f t="shared" si="2"/>
        <v/>
      </c>
      <c r="K80" s="25" t="str">
        <f t="shared" si="3"/>
        <v/>
      </c>
      <c r="L80" s="22"/>
      <c r="M80" s="23"/>
      <c r="N80" s="20"/>
      <c r="O80" s="16"/>
    </row>
    <row r="81" spans="1:15" s="6" customFormat="1" ht="14.1" customHeight="1">
      <c r="A81" s="146"/>
      <c r="B81" s="147"/>
      <c r="C81" s="43"/>
      <c r="D81" s="43"/>
      <c r="E81" s="43"/>
      <c r="F81" s="22"/>
      <c r="G81" s="43"/>
      <c r="H81" s="43"/>
      <c r="I81" s="23"/>
      <c r="J81" s="25" t="str">
        <f t="shared" si="2"/>
        <v/>
      </c>
      <c r="K81" s="25" t="str">
        <f t="shared" si="3"/>
        <v/>
      </c>
      <c r="L81" s="22"/>
      <c r="M81" s="23"/>
      <c r="N81" s="20"/>
      <c r="O81" s="16"/>
    </row>
    <row r="82" spans="1:15" s="6" customFormat="1" ht="14.1" customHeight="1">
      <c r="A82" s="146"/>
      <c r="B82" s="147"/>
      <c r="C82" s="43"/>
      <c r="D82" s="43"/>
      <c r="E82" s="43"/>
      <c r="F82" s="22"/>
      <c r="G82" s="43"/>
      <c r="H82" s="43"/>
      <c r="I82" s="23"/>
      <c r="J82" s="25" t="str">
        <f t="shared" si="2"/>
        <v/>
      </c>
      <c r="K82" s="25" t="str">
        <f t="shared" si="3"/>
        <v/>
      </c>
      <c r="L82" s="22"/>
      <c r="M82" s="23"/>
      <c r="N82" s="20"/>
      <c r="O82" s="16"/>
    </row>
    <row r="83" spans="1:15" s="6" customFormat="1" ht="14.1" customHeight="1">
      <c r="A83" s="146"/>
      <c r="B83" s="147"/>
      <c r="C83" s="43"/>
      <c r="D83" s="43"/>
      <c r="E83" s="43"/>
      <c r="F83" s="22"/>
      <c r="G83" s="43"/>
      <c r="H83" s="43"/>
      <c r="I83" s="23"/>
      <c r="J83" s="25" t="str">
        <f t="shared" si="2"/>
        <v/>
      </c>
      <c r="K83" s="25" t="str">
        <f t="shared" si="3"/>
        <v/>
      </c>
      <c r="L83" s="22"/>
      <c r="M83" s="23"/>
      <c r="N83" s="20"/>
      <c r="O83" s="16"/>
    </row>
    <row r="84" spans="1:15" s="6" customFormat="1" ht="14.1" customHeight="1">
      <c r="A84" s="146"/>
      <c r="B84" s="147"/>
      <c r="C84" s="43"/>
      <c r="D84" s="43"/>
      <c r="E84" s="43"/>
      <c r="F84" s="22"/>
      <c r="G84" s="43"/>
      <c r="H84" s="43"/>
      <c r="I84" s="23"/>
      <c r="J84" s="25" t="str">
        <f t="shared" si="2"/>
        <v/>
      </c>
      <c r="K84" s="25" t="str">
        <f t="shared" si="3"/>
        <v/>
      </c>
      <c r="L84" s="22"/>
      <c r="M84" s="23"/>
      <c r="N84" s="20"/>
      <c r="O84" s="16"/>
    </row>
    <row r="85" spans="1:15" s="6" customFormat="1" ht="14.1" customHeight="1">
      <c r="A85" s="146"/>
      <c r="B85" s="147"/>
      <c r="C85" s="43"/>
      <c r="D85" s="43"/>
      <c r="E85" s="43"/>
      <c r="F85" s="22"/>
      <c r="G85" s="43"/>
      <c r="H85" s="43"/>
      <c r="I85" s="23"/>
      <c r="J85" s="25" t="str">
        <f t="shared" si="2"/>
        <v/>
      </c>
      <c r="K85" s="25" t="str">
        <f t="shared" si="3"/>
        <v/>
      </c>
      <c r="L85" s="22"/>
      <c r="M85" s="23"/>
      <c r="N85" s="20"/>
      <c r="O85" s="16"/>
    </row>
    <row r="86" spans="1:15" s="6" customFormat="1" ht="14.1" customHeight="1">
      <c r="A86" s="146"/>
      <c r="B86" s="147"/>
      <c r="C86" s="43"/>
      <c r="D86" s="43"/>
      <c r="E86" s="43"/>
      <c r="F86" s="22"/>
      <c r="G86" s="43"/>
      <c r="H86" s="43"/>
      <c r="I86" s="23"/>
      <c r="J86" s="25" t="str">
        <f t="shared" si="2"/>
        <v/>
      </c>
      <c r="K86" s="25" t="str">
        <f t="shared" si="3"/>
        <v/>
      </c>
      <c r="L86" s="22"/>
      <c r="M86" s="23"/>
      <c r="N86" s="20"/>
      <c r="O86" s="16"/>
    </row>
    <row r="87" spans="1:15" s="6" customFormat="1" ht="14.1" customHeight="1">
      <c r="A87" s="146"/>
      <c r="B87" s="147"/>
      <c r="C87" s="43"/>
      <c r="D87" s="43"/>
      <c r="E87" s="43"/>
      <c r="F87" s="22"/>
      <c r="G87" s="43"/>
      <c r="H87" s="43"/>
      <c r="I87" s="23"/>
      <c r="J87" s="25" t="str">
        <f t="shared" si="2"/>
        <v/>
      </c>
      <c r="K87" s="25" t="str">
        <f t="shared" si="3"/>
        <v/>
      </c>
      <c r="L87" s="22"/>
      <c r="M87" s="23"/>
      <c r="N87" s="20"/>
      <c r="O87" s="16"/>
    </row>
    <row r="88" spans="1:15" s="6" customFormat="1" ht="14.1" customHeight="1">
      <c r="A88" s="146"/>
      <c r="B88" s="147"/>
      <c r="C88" s="43"/>
      <c r="D88" s="43"/>
      <c r="E88" s="43"/>
      <c r="F88" s="22"/>
      <c r="G88" s="43"/>
      <c r="H88" s="43"/>
      <c r="I88" s="23"/>
      <c r="J88" s="25" t="str">
        <f t="shared" si="2"/>
        <v/>
      </c>
      <c r="K88" s="25" t="str">
        <f t="shared" si="3"/>
        <v/>
      </c>
      <c r="L88" s="22"/>
      <c r="M88" s="23"/>
      <c r="N88" s="20"/>
      <c r="O88" s="16"/>
    </row>
    <row r="89" spans="1:15" s="6" customFormat="1" ht="14.1" customHeight="1">
      <c r="A89" s="146"/>
      <c r="B89" s="147"/>
      <c r="C89" s="43"/>
      <c r="D89" s="43"/>
      <c r="E89" s="43"/>
      <c r="F89" s="22"/>
      <c r="G89" s="43"/>
      <c r="H89" s="43"/>
      <c r="I89" s="23"/>
      <c r="J89" s="25" t="str">
        <f t="shared" si="2"/>
        <v/>
      </c>
      <c r="K89" s="25" t="str">
        <f t="shared" si="3"/>
        <v/>
      </c>
      <c r="L89" s="22"/>
      <c r="M89" s="23"/>
      <c r="N89" s="20"/>
      <c r="O89" s="16"/>
    </row>
    <row r="90" spans="1:15" s="6" customFormat="1" ht="14.1" customHeight="1">
      <c r="A90" s="146"/>
      <c r="B90" s="147"/>
      <c r="C90" s="43"/>
      <c r="D90" s="43"/>
      <c r="E90" s="43"/>
      <c r="F90" s="22"/>
      <c r="G90" s="43"/>
      <c r="H90" s="43"/>
      <c r="I90" s="23"/>
      <c r="J90" s="25" t="str">
        <f t="shared" si="2"/>
        <v/>
      </c>
      <c r="K90" s="25" t="str">
        <f t="shared" si="3"/>
        <v/>
      </c>
      <c r="L90" s="22"/>
      <c r="M90" s="23"/>
      <c r="N90" s="20"/>
      <c r="O90" s="16"/>
    </row>
    <row r="91" spans="1:15" s="6" customFormat="1" ht="14.1" customHeight="1">
      <c r="A91" s="146"/>
      <c r="B91" s="147"/>
      <c r="C91" s="43"/>
      <c r="D91" s="43"/>
      <c r="E91" s="43"/>
      <c r="F91" s="22"/>
      <c r="G91" s="43"/>
      <c r="H91" s="43"/>
      <c r="I91" s="23"/>
      <c r="J91" s="25" t="str">
        <f t="shared" si="2"/>
        <v/>
      </c>
      <c r="K91" s="25" t="str">
        <f t="shared" si="3"/>
        <v/>
      </c>
      <c r="L91" s="22"/>
      <c r="M91" s="23"/>
      <c r="N91" s="20"/>
      <c r="O91" s="16"/>
    </row>
    <row r="92" spans="1:15" s="6" customFormat="1" ht="14.1" customHeight="1">
      <c r="A92" s="146"/>
      <c r="B92" s="147"/>
      <c r="C92" s="43"/>
      <c r="D92" s="43"/>
      <c r="E92" s="43"/>
      <c r="F92" s="22"/>
      <c r="G92" s="43"/>
      <c r="H92" s="43"/>
      <c r="I92" s="23"/>
      <c r="J92" s="25" t="str">
        <f t="shared" si="2"/>
        <v/>
      </c>
      <c r="K92" s="25" t="str">
        <f t="shared" si="3"/>
        <v/>
      </c>
      <c r="L92" s="22"/>
      <c r="M92" s="23"/>
      <c r="N92" s="20"/>
      <c r="O92" s="16"/>
    </row>
    <row r="93" spans="1:15" s="6" customFormat="1" ht="14.1" customHeight="1">
      <c r="A93" s="146"/>
      <c r="B93" s="147"/>
      <c r="C93" s="43"/>
      <c r="D93" s="43"/>
      <c r="E93" s="43"/>
      <c r="F93" s="22"/>
      <c r="G93" s="43"/>
      <c r="H93" s="43"/>
      <c r="I93" s="23"/>
      <c r="J93" s="25" t="str">
        <f t="shared" si="2"/>
        <v/>
      </c>
      <c r="K93" s="25" t="str">
        <f t="shared" si="3"/>
        <v/>
      </c>
      <c r="L93" s="22"/>
      <c r="M93" s="23"/>
      <c r="N93" s="20"/>
      <c r="O93" s="16"/>
    </row>
    <row r="94" spans="1:15" s="6" customFormat="1" ht="14.1" customHeight="1">
      <c r="A94" s="146"/>
      <c r="B94" s="147"/>
      <c r="C94" s="43"/>
      <c r="D94" s="43"/>
      <c r="E94" s="43"/>
      <c r="F94" s="22"/>
      <c r="G94" s="43"/>
      <c r="H94" s="43"/>
      <c r="I94" s="23"/>
      <c r="J94" s="25" t="str">
        <f t="shared" si="2"/>
        <v/>
      </c>
      <c r="K94" s="25" t="str">
        <f t="shared" si="3"/>
        <v/>
      </c>
      <c r="L94" s="22"/>
      <c r="M94" s="23"/>
      <c r="N94" s="20"/>
      <c r="O94" s="16"/>
    </row>
    <row r="95" spans="1:15" s="6" customFormat="1" ht="14.1" customHeight="1">
      <c r="A95" s="146"/>
      <c r="B95" s="147"/>
      <c r="C95" s="43"/>
      <c r="D95" s="43"/>
      <c r="E95" s="43"/>
      <c r="F95" s="22"/>
      <c r="G95" s="43"/>
      <c r="H95" s="43"/>
      <c r="I95" s="23"/>
      <c r="J95" s="25" t="str">
        <f t="shared" si="2"/>
        <v/>
      </c>
      <c r="K95" s="25" t="str">
        <f t="shared" si="3"/>
        <v/>
      </c>
      <c r="L95" s="22"/>
      <c r="M95" s="23"/>
      <c r="N95" s="20"/>
      <c r="O95" s="16"/>
    </row>
    <row r="96" spans="1:15" s="6" customFormat="1" ht="14.1" customHeight="1">
      <c r="A96" s="146"/>
      <c r="B96" s="147"/>
      <c r="C96" s="43"/>
      <c r="D96" s="43"/>
      <c r="E96" s="43"/>
      <c r="F96" s="22"/>
      <c r="G96" s="43"/>
      <c r="H96" s="43"/>
      <c r="I96" s="23"/>
      <c r="J96" s="25" t="str">
        <f t="shared" si="2"/>
        <v/>
      </c>
      <c r="K96" s="25" t="str">
        <f t="shared" si="3"/>
        <v/>
      </c>
      <c r="L96" s="22"/>
      <c r="M96" s="23"/>
      <c r="N96" s="20"/>
      <c r="O96" s="16"/>
    </row>
    <row r="97" spans="1:15" s="6" customFormat="1" ht="14.1" customHeight="1">
      <c r="A97" s="146"/>
      <c r="B97" s="147"/>
      <c r="C97" s="43"/>
      <c r="D97" s="43"/>
      <c r="E97" s="43"/>
      <c r="F97" s="22"/>
      <c r="G97" s="43"/>
      <c r="H97" s="43"/>
      <c r="I97" s="23"/>
      <c r="J97" s="25" t="str">
        <f t="shared" si="2"/>
        <v/>
      </c>
      <c r="K97" s="25" t="str">
        <f t="shared" si="3"/>
        <v/>
      </c>
      <c r="L97" s="22"/>
      <c r="M97" s="23"/>
      <c r="N97" s="20"/>
      <c r="O97" s="16"/>
    </row>
    <row r="98" spans="1:15" s="6" customFormat="1" ht="14.1" customHeight="1">
      <c r="A98" s="146"/>
      <c r="B98" s="147"/>
      <c r="C98" s="43"/>
      <c r="D98" s="43"/>
      <c r="E98" s="43"/>
      <c r="F98" s="22"/>
      <c r="G98" s="43"/>
      <c r="H98" s="43"/>
      <c r="I98" s="23"/>
      <c r="J98" s="25" t="str">
        <f t="shared" si="2"/>
        <v/>
      </c>
      <c r="K98" s="25" t="str">
        <f t="shared" si="3"/>
        <v/>
      </c>
      <c r="L98" s="22"/>
      <c r="M98" s="23"/>
      <c r="N98" s="20"/>
      <c r="O98" s="16"/>
    </row>
    <row r="99" spans="1:15" s="6" customFormat="1" ht="14.1" customHeight="1">
      <c r="A99" s="146"/>
      <c r="B99" s="147"/>
      <c r="C99" s="43"/>
      <c r="D99" s="43"/>
      <c r="E99" s="43"/>
      <c r="F99" s="22"/>
      <c r="G99" s="43"/>
      <c r="H99" s="43"/>
      <c r="I99" s="23"/>
      <c r="J99" s="25" t="str">
        <f t="shared" si="2"/>
        <v/>
      </c>
      <c r="K99" s="25" t="str">
        <f t="shared" si="3"/>
        <v/>
      </c>
      <c r="L99" s="22"/>
      <c r="M99" s="23"/>
      <c r="N99" s="20"/>
      <c r="O99" s="16"/>
    </row>
    <row r="100" spans="1:15" s="6" customFormat="1" ht="14.1" customHeight="1">
      <c r="A100" s="146"/>
      <c r="B100" s="147"/>
      <c r="C100" s="43"/>
      <c r="D100" s="43"/>
      <c r="E100" s="43"/>
      <c r="F100" s="22"/>
      <c r="G100" s="43"/>
      <c r="H100" s="43"/>
      <c r="I100" s="23"/>
      <c r="J100" s="25" t="str">
        <f t="shared" si="2"/>
        <v/>
      </c>
      <c r="K100" s="25" t="str">
        <f t="shared" si="3"/>
        <v/>
      </c>
      <c r="L100" s="22"/>
      <c r="M100" s="23"/>
      <c r="N100" s="20"/>
      <c r="O100" s="16"/>
    </row>
    <row r="101" spans="1:15" s="6" customFormat="1" ht="14.1" customHeight="1">
      <c r="A101" s="146"/>
      <c r="B101" s="147"/>
      <c r="C101" s="43"/>
      <c r="D101" s="43"/>
      <c r="E101" s="43"/>
      <c r="F101" s="22"/>
      <c r="G101" s="43"/>
      <c r="H101" s="43"/>
      <c r="I101" s="23"/>
      <c r="J101" s="25" t="str">
        <f t="shared" si="2"/>
        <v/>
      </c>
      <c r="K101" s="25" t="str">
        <f t="shared" si="3"/>
        <v/>
      </c>
      <c r="L101" s="22"/>
      <c r="M101" s="23"/>
      <c r="N101" s="20"/>
      <c r="O101" s="16"/>
    </row>
    <row r="102" spans="1:15" s="6" customFormat="1" ht="14.1" customHeight="1">
      <c r="A102" s="146"/>
      <c r="B102" s="147"/>
      <c r="C102" s="43"/>
      <c r="D102" s="43"/>
      <c r="E102" s="43"/>
      <c r="F102" s="22"/>
      <c r="G102" s="43"/>
      <c r="H102" s="43"/>
      <c r="I102" s="23"/>
      <c r="J102" s="25" t="str">
        <f t="shared" si="2"/>
        <v/>
      </c>
      <c r="K102" s="25" t="str">
        <f t="shared" si="3"/>
        <v/>
      </c>
      <c r="L102" s="22"/>
      <c r="M102" s="23"/>
      <c r="N102" s="20"/>
      <c r="O102" s="16"/>
    </row>
    <row r="103" spans="1:15" s="6" customFormat="1" ht="14.1" customHeight="1">
      <c r="A103" s="146"/>
      <c r="B103" s="147"/>
      <c r="C103" s="43"/>
      <c r="D103" s="43"/>
      <c r="E103" s="43"/>
      <c r="F103" s="22"/>
      <c r="G103" s="43"/>
      <c r="H103" s="43"/>
      <c r="I103" s="23"/>
      <c r="J103" s="25" t="str">
        <f t="shared" si="2"/>
        <v/>
      </c>
      <c r="K103" s="25" t="str">
        <f t="shared" si="3"/>
        <v/>
      </c>
      <c r="L103" s="22"/>
      <c r="M103" s="23"/>
      <c r="N103" s="20"/>
      <c r="O103" s="16"/>
    </row>
    <row r="104" spans="1:15" s="6" customFormat="1" ht="14.1" customHeight="1">
      <c r="A104" s="146"/>
      <c r="B104" s="147"/>
      <c r="C104" s="43"/>
      <c r="D104" s="43"/>
      <c r="E104" s="43"/>
      <c r="F104" s="22"/>
      <c r="G104" s="43"/>
      <c r="H104" s="43"/>
      <c r="I104" s="23"/>
      <c r="J104" s="25" t="str">
        <f t="shared" si="2"/>
        <v/>
      </c>
      <c r="K104" s="25" t="str">
        <f t="shared" si="3"/>
        <v/>
      </c>
      <c r="L104" s="22"/>
      <c r="M104" s="23"/>
      <c r="N104" s="20"/>
      <c r="O104" s="16"/>
    </row>
    <row r="105" spans="1:15" s="6" customFormat="1" ht="14.1" customHeight="1">
      <c r="A105" s="146"/>
      <c r="B105" s="147"/>
      <c r="C105" s="43"/>
      <c r="D105" s="43"/>
      <c r="E105" s="43"/>
      <c r="F105" s="22"/>
      <c r="G105" s="43"/>
      <c r="H105" s="43"/>
      <c r="I105" s="23"/>
      <c r="J105" s="25" t="str">
        <f t="shared" si="2"/>
        <v/>
      </c>
      <c r="K105" s="25" t="str">
        <f t="shared" si="3"/>
        <v/>
      </c>
      <c r="L105" s="22"/>
      <c r="M105" s="23"/>
      <c r="N105" s="20"/>
      <c r="O105" s="16"/>
    </row>
    <row r="106" spans="1:15" s="6" customFormat="1" ht="14.1" customHeight="1">
      <c r="A106" s="146"/>
      <c r="B106" s="147"/>
      <c r="C106" s="43"/>
      <c r="D106" s="43"/>
      <c r="E106" s="43"/>
      <c r="F106" s="22"/>
      <c r="G106" s="43"/>
      <c r="H106" s="43"/>
      <c r="I106" s="23"/>
      <c r="J106" s="25" t="str">
        <f t="shared" si="2"/>
        <v/>
      </c>
      <c r="K106" s="25" t="str">
        <f t="shared" si="3"/>
        <v/>
      </c>
      <c r="L106" s="22"/>
      <c r="M106" s="23"/>
      <c r="N106" s="20"/>
      <c r="O106" s="16"/>
    </row>
    <row r="107" spans="1:15" s="6" customFormat="1" ht="14.1" customHeight="1">
      <c r="A107" s="146"/>
      <c r="B107" s="147"/>
      <c r="C107" s="43"/>
      <c r="D107" s="43"/>
      <c r="E107" s="43"/>
      <c r="F107" s="22"/>
      <c r="G107" s="43"/>
      <c r="H107" s="43"/>
      <c r="I107" s="23"/>
      <c r="J107" s="25" t="str">
        <f t="shared" si="2"/>
        <v/>
      </c>
      <c r="K107" s="25" t="str">
        <f t="shared" si="3"/>
        <v/>
      </c>
      <c r="L107" s="22"/>
      <c r="M107" s="23"/>
      <c r="N107" s="20"/>
      <c r="O107" s="16"/>
    </row>
    <row r="108" spans="1:15" s="6" customFormat="1" ht="14.1" customHeight="1">
      <c r="A108" s="146"/>
      <c r="B108" s="147"/>
      <c r="C108" s="43"/>
      <c r="D108" s="43"/>
      <c r="E108" s="43"/>
      <c r="F108" s="22"/>
      <c r="G108" s="43"/>
      <c r="H108" s="43"/>
      <c r="I108" s="23"/>
      <c r="J108" s="25" t="str">
        <f t="shared" si="2"/>
        <v/>
      </c>
      <c r="K108" s="25" t="str">
        <f t="shared" si="3"/>
        <v/>
      </c>
      <c r="L108" s="22"/>
      <c r="M108" s="23"/>
      <c r="N108" s="20"/>
      <c r="O108" s="16"/>
    </row>
    <row r="109" spans="1:15" s="6" customFormat="1" ht="14.1" customHeight="1">
      <c r="A109" s="146"/>
      <c r="B109" s="147"/>
      <c r="C109" s="43"/>
      <c r="D109" s="43"/>
      <c r="E109" s="43"/>
      <c r="F109" s="22"/>
      <c r="G109" s="43"/>
      <c r="H109" s="43"/>
      <c r="I109" s="23"/>
      <c r="J109" s="25" t="str">
        <f t="shared" si="2"/>
        <v/>
      </c>
      <c r="K109" s="25" t="str">
        <f t="shared" si="3"/>
        <v/>
      </c>
      <c r="L109" s="22"/>
      <c r="M109" s="23"/>
      <c r="N109" s="20"/>
      <c r="O109" s="16"/>
    </row>
    <row r="110" spans="1:15" s="6" customFormat="1" ht="14.1" customHeight="1">
      <c r="A110" s="146"/>
      <c r="B110" s="147"/>
      <c r="C110" s="43"/>
      <c r="D110" s="43"/>
      <c r="E110" s="43"/>
      <c r="F110" s="22"/>
      <c r="G110" s="43"/>
      <c r="H110" s="43"/>
      <c r="I110" s="23"/>
      <c r="J110" s="25" t="str">
        <f t="shared" si="2"/>
        <v/>
      </c>
      <c r="K110" s="25" t="str">
        <f t="shared" si="3"/>
        <v/>
      </c>
      <c r="L110" s="22"/>
      <c r="M110" s="23"/>
      <c r="N110" s="20"/>
      <c r="O110" s="16"/>
    </row>
    <row r="111" spans="1:15" s="6" customFormat="1" ht="14.1" customHeight="1">
      <c r="A111" s="146"/>
      <c r="B111" s="147"/>
      <c r="C111" s="43"/>
      <c r="D111" s="43"/>
      <c r="E111" s="43"/>
      <c r="F111" s="22"/>
      <c r="G111" s="43"/>
      <c r="H111" s="43"/>
      <c r="I111" s="23"/>
      <c r="J111" s="25" t="str">
        <f t="shared" si="2"/>
        <v/>
      </c>
      <c r="K111" s="25" t="str">
        <f t="shared" si="3"/>
        <v/>
      </c>
      <c r="L111" s="22"/>
      <c r="M111" s="23"/>
      <c r="N111" s="20"/>
      <c r="O111" s="16"/>
    </row>
    <row r="112" spans="1:15" s="6" customFormat="1" ht="14.1" customHeight="1">
      <c r="A112" s="146"/>
      <c r="B112" s="147"/>
      <c r="C112" s="43"/>
      <c r="D112" s="43"/>
      <c r="E112" s="43"/>
      <c r="F112" s="22"/>
      <c r="G112" s="43"/>
      <c r="H112" s="43"/>
      <c r="I112" s="23"/>
      <c r="J112" s="25" t="str">
        <f t="shared" si="2"/>
        <v/>
      </c>
      <c r="K112" s="25" t="str">
        <f t="shared" si="3"/>
        <v/>
      </c>
      <c r="L112" s="22"/>
      <c r="M112" s="23"/>
      <c r="N112" s="20"/>
      <c r="O112" s="16"/>
    </row>
    <row r="113" spans="1:15" s="6" customFormat="1" ht="14.1" customHeight="1">
      <c r="A113" s="146"/>
      <c r="B113" s="147"/>
      <c r="C113" s="43"/>
      <c r="D113" s="43"/>
      <c r="E113" s="43"/>
      <c r="F113" s="22"/>
      <c r="G113" s="43"/>
      <c r="H113" s="43"/>
      <c r="I113" s="23"/>
      <c r="J113" s="25" t="str">
        <f t="shared" si="2"/>
        <v/>
      </c>
      <c r="K113" s="25" t="str">
        <f t="shared" si="3"/>
        <v/>
      </c>
      <c r="L113" s="22"/>
      <c r="M113" s="23"/>
      <c r="N113" s="20"/>
      <c r="O113" s="16"/>
    </row>
    <row r="114" spans="1:15" s="6" customFormat="1" ht="14.1" customHeight="1">
      <c r="A114" s="146"/>
      <c r="B114" s="147"/>
      <c r="C114" s="43"/>
      <c r="D114" s="43"/>
      <c r="E114" s="43"/>
      <c r="F114" s="22"/>
      <c r="G114" s="43"/>
      <c r="H114" s="43"/>
      <c r="I114" s="23"/>
      <c r="J114" s="25" t="str">
        <f t="shared" si="2"/>
        <v/>
      </c>
      <c r="K114" s="25" t="str">
        <f t="shared" si="3"/>
        <v/>
      </c>
      <c r="L114" s="22"/>
      <c r="M114" s="23"/>
      <c r="N114" s="20"/>
      <c r="O114" s="16"/>
    </row>
    <row r="115" spans="1:15" s="6" customFormat="1" ht="14.1" customHeight="1">
      <c r="A115" s="146"/>
      <c r="B115" s="147"/>
      <c r="C115" s="43"/>
      <c r="D115" s="43"/>
      <c r="E115" s="43"/>
      <c r="F115" s="22"/>
      <c r="G115" s="43"/>
      <c r="H115" s="43"/>
      <c r="I115" s="23"/>
      <c r="J115" s="25" t="str">
        <f t="shared" si="2"/>
        <v/>
      </c>
      <c r="K115" s="25" t="str">
        <f t="shared" si="3"/>
        <v/>
      </c>
      <c r="L115" s="22"/>
      <c r="M115" s="23"/>
      <c r="N115" s="20"/>
      <c r="O115" s="16"/>
    </row>
    <row r="116" spans="1:15" s="6" customFormat="1" ht="14.1" customHeight="1">
      <c r="A116" s="146"/>
      <c r="B116" s="147"/>
      <c r="C116" s="43"/>
      <c r="D116" s="43"/>
      <c r="E116" s="43"/>
      <c r="F116" s="22"/>
      <c r="G116" s="43"/>
      <c r="H116" s="43"/>
      <c r="I116" s="23"/>
      <c r="J116" s="25" t="str">
        <f t="shared" si="2"/>
        <v/>
      </c>
      <c r="K116" s="25" t="str">
        <f t="shared" si="3"/>
        <v/>
      </c>
      <c r="L116" s="22"/>
      <c r="M116" s="23"/>
      <c r="N116" s="20"/>
      <c r="O116" s="16"/>
    </row>
    <row r="117" spans="1:15" s="6" customFormat="1" ht="14.1" customHeight="1">
      <c r="A117" s="146"/>
      <c r="B117" s="147"/>
      <c r="C117" s="43"/>
      <c r="D117" s="43"/>
      <c r="E117" s="43"/>
      <c r="F117" s="22"/>
      <c r="G117" s="43"/>
      <c r="H117" s="43"/>
      <c r="I117" s="23"/>
      <c r="J117" s="25" t="str">
        <f t="shared" si="2"/>
        <v/>
      </c>
      <c r="K117" s="25" t="str">
        <f t="shared" si="3"/>
        <v/>
      </c>
      <c r="L117" s="22"/>
      <c r="M117" s="23"/>
      <c r="N117" s="20"/>
      <c r="O117" s="16"/>
    </row>
    <row r="118" spans="1:15" s="6" customFormat="1" ht="14.1" customHeight="1">
      <c r="A118" s="146"/>
      <c r="B118" s="147"/>
      <c r="C118" s="43"/>
      <c r="D118" s="43"/>
      <c r="E118" s="43"/>
      <c r="F118" s="22"/>
      <c r="G118" s="43"/>
      <c r="H118" s="43"/>
      <c r="I118" s="23"/>
      <c r="J118" s="25" t="str">
        <f t="shared" si="2"/>
        <v/>
      </c>
      <c r="K118" s="25" t="str">
        <f t="shared" si="3"/>
        <v/>
      </c>
      <c r="L118" s="22"/>
      <c r="M118" s="23"/>
      <c r="N118" s="20"/>
      <c r="O118" s="16"/>
    </row>
    <row r="119" spans="1:15" s="6" customFormat="1" ht="14.1" customHeight="1">
      <c r="A119" s="146"/>
      <c r="B119" s="147"/>
      <c r="C119" s="43"/>
      <c r="D119" s="43"/>
      <c r="E119" s="43"/>
      <c r="F119" s="22"/>
      <c r="G119" s="43"/>
      <c r="H119" s="43"/>
      <c r="I119" s="23"/>
      <c r="J119" s="25" t="str">
        <f t="shared" si="2"/>
        <v/>
      </c>
      <c r="K119" s="25" t="str">
        <f t="shared" si="3"/>
        <v/>
      </c>
      <c r="L119" s="22"/>
      <c r="M119" s="23"/>
      <c r="N119" s="20"/>
      <c r="O119" s="16"/>
    </row>
    <row r="120" spans="1:15" s="6" customFormat="1" ht="14.1" customHeight="1">
      <c r="A120" s="146"/>
      <c r="B120" s="147"/>
      <c r="C120" s="43"/>
      <c r="D120" s="43"/>
      <c r="E120" s="43"/>
      <c r="F120" s="22"/>
      <c r="G120" s="43"/>
      <c r="H120" s="43"/>
      <c r="I120" s="23"/>
      <c r="J120" s="25" t="str">
        <f t="shared" si="2"/>
        <v/>
      </c>
      <c r="K120" s="25" t="str">
        <f t="shared" si="3"/>
        <v/>
      </c>
      <c r="L120" s="22"/>
      <c r="M120" s="23"/>
      <c r="N120" s="20"/>
      <c r="O120" s="16"/>
    </row>
    <row r="121" spans="1:15" s="6" customFormat="1" ht="14.1" customHeight="1">
      <c r="A121" s="146"/>
      <c r="B121" s="147"/>
      <c r="C121" s="43"/>
      <c r="D121" s="43"/>
      <c r="E121" s="43"/>
      <c r="F121" s="22"/>
      <c r="G121" s="43"/>
      <c r="H121" s="43"/>
      <c r="I121" s="23"/>
      <c r="J121" s="25" t="str">
        <f t="shared" si="2"/>
        <v/>
      </c>
      <c r="K121" s="25" t="str">
        <f t="shared" si="3"/>
        <v/>
      </c>
      <c r="L121" s="22"/>
      <c r="M121" s="23"/>
      <c r="N121" s="20"/>
      <c r="O121" s="16"/>
    </row>
    <row r="122" spans="1:15" s="6" customFormat="1" ht="14.1" customHeight="1">
      <c r="A122" s="146"/>
      <c r="B122" s="147"/>
      <c r="C122" s="43"/>
      <c r="D122" s="43"/>
      <c r="E122" s="43"/>
      <c r="F122" s="22"/>
      <c r="G122" s="43"/>
      <c r="H122" s="43"/>
      <c r="I122" s="23"/>
      <c r="J122" s="25" t="str">
        <f t="shared" si="2"/>
        <v/>
      </c>
      <c r="K122" s="25" t="str">
        <f t="shared" si="3"/>
        <v/>
      </c>
      <c r="L122" s="22"/>
      <c r="M122" s="23"/>
      <c r="N122" s="20"/>
      <c r="O122" s="16"/>
    </row>
    <row r="123" spans="1:15" s="6" customFormat="1" ht="14.1" customHeight="1">
      <c r="A123" s="146"/>
      <c r="B123" s="147"/>
      <c r="C123" s="43"/>
      <c r="D123" s="43"/>
      <c r="E123" s="43"/>
      <c r="F123" s="22"/>
      <c r="G123" s="43"/>
      <c r="H123" s="43"/>
      <c r="I123" s="23"/>
      <c r="J123" s="25" t="str">
        <f t="shared" si="2"/>
        <v/>
      </c>
      <c r="K123" s="25" t="str">
        <f t="shared" si="3"/>
        <v/>
      </c>
      <c r="L123" s="22"/>
      <c r="M123" s="23"/>
      <c r="N123" s="20"/>
      <c r="O123" s="16"/>
    </row>
    <row r="124" spans="1:15" s="6" customFormat="1" ht="14.1" customHeight="1">
      <c r="A124" s="146"/>
      <c r="B124" s="147"/>
      <c r="C124" s="43"/>
      <c r="D124" s="43"/>
      <c r="E124" s="43"/>
      <c r="F124" s="22"/>
      <c r="G124" s="43"/>
      <c r="H124" s="43"/>
      <c r="I124" s="23"/>
      <c r="J124" s="25" t="str">
        <f t="shared" si="2"/>
        <v/>
      </c>
      <c r="K124" s="25" t="str">
        <f t="shared" si="3"/>
        <v/>
      </c>
      <c r="L124" s="22"/>
      <c r="M124" s="23"/>
      <c r="N124" s="20"/>
      <c r="O124" s="16"/>
    </row>
    <row r="125" spans="1:15" s="6" customFormat="1" ht="14.1" customHeight="1">
      <c r="A125" s="146"/>
      <c r="B125" s="147"/>
      <c r="C125" s="43"/>
      <c r="D125" s="43"/>
      <c r="E125" s="43"/>
      <c r="F125" s="22"/>
      <c r="G125" s="43"/>
      <c r="H125" s="43"/>
      <c r="I125" s="23"/>
      <c r="J125" s="25" t="str">
        <f t="shared" si="2"/>
        <v/>
      </c>
      <c r="K125" s="25" t="str">
        <f t="shared" si="3"/>
        <v/>
      </c>
      <c r="L125" s="22"/>
      <c r="M125" s="23"/>
      <c r="N125" s="20"/>
      <c r="O125" s="16"/>
    </row>
    <row r="126" spans="1:15" s="6" customFormat="1" ht="14.1" customHeight="1">
      <c r="A126" s="146"/>
      <c r="B126" s="147"/>
      <c r="C126" s="43"/>
      <c r="D126" s="43"/>
      <c r="E126" s="43"/>
      <c r="F126" s="22"/>
      <c r="G126" s="43"/>
      <c r="H126" s="43"/>
      <c r="I126" s="23"/>
      <c r="J126" s="25" t="str">
        <f t="shared" si="2"/>
        <v/>
      </c>
      <c r="K126" s="25" t="str">
        <f t="shared" si="3"/>
        <v/>
      </c>
      <c r="L126" s="22"/>
      <c r="M126" s="23"/>
      <c r="N126" s="20"/>
      <c r="O126" s="16"/>
    </row>
    <row r="127" spans="1:15" s="6" customFormat="1" ht="14.1" customHeight="1">
      <c r="A127" s="146"/>
      <c r="B127" s="147"/>
      <c r="C127" s="43"/>
      <c r="D127" s="43"/>
      <c r="E127" s="43"/>
      <c r="F127" s="22"/>
      <c r="G127" s="43"/>
      <c r="H127" s="43"/>
      <c r="I127" s="23"/>
      <c r="J127" s="25" t="str">
        <f t="shared" si="2"/>
        <v/>
      </c>
      <c r="K127" s="25" t="str">
        <f t="shared" si="3"/>
        <v/>
      </c>
      <c r="L127" s="22"/>
      <c r="M127" s="23"/>
      <c r="N127" s="20"/>
      <c r="O127" s="16"/>
    </row>
    <row r="128" spans="1:15" s="6" customFormat="1" ht="14.1" customHeight="1">
      <c r="A128" s="146"/>
      <c r="B128" s="147"/>
      <c r="C128" s="43"/>
      <c r="D128" s="43"/>
      <c r="E128" s="43"/>
      <c r="F128" s="22"/>
      <c r="G128" s="43"/>
      <c r="H128" s="43"/>
      <c r="I128" s="23"/>
      <c r="J128" s="25" t="str">
        <f t="shared" si="2"/>
        <v/>
      </c>
      <c r="K128" s="25" t="str">
        <f t="shared" si="3"/>
        <v/>
      </c>
      <c r="L128" s="22"/>
      <c r="M128" s="23"/>
      <c r="N128" s="20"/>
      <c r="O128" s="16"/>
    </row>
    <row r="129" spans="1:15" s="6" customFormat="1" ht="14.1" customHeight="1">
      <c r="A129" s="146"/>
      <c r="B129" s="147"/>
      <c r="C129" s="43"/>
      <c r="D129" s="43"/>
      <c r="E129" s="43"/>
      <c r="F129" s="22"/>
      <c r="G129" s="43"/>
      <c r="H129" s="43"/>
      <c r="I129" s="23"/>
      <c r="J129" s="25" t="str">
        <f t="shared" si="2"/>
        <v/>
      </c>
      <c r="K129" s="25" t="str">
        <f t="shared" si="3"/>
        <v/>
      </c>
      <c r="L129" s="22"/>
      <c r="M129" s="23"/>
      <c r="N129" s="20"/>
      <c r="O129" s="16"/>
    </row>
    <row r="130" spans="1:15" s="6" customFormat="1" ht="14.1" customHeight="1">
      <c r="A130" s="146"/>
      <c r="B130" s="147"/>
      <c r="C130" s="43"/>
      <c r="D130" s="43"/>
      <c r="E130" s="43"/>
      <c r="F130" s="22"/>
      <c r="G130" s="43"/>
      <c r="H130" s="43"/>
      <c r="I130" s="23"/>
      <c r="J130" s="25" t="str">
        <f t="shared" si="2"/>
        <v/>
      </c>
      <c r="K130" s="25" t="str">
        <f t="shared" si="3"/>
        <v/>
      </c>
      <c r="L130" s="22"/>
      <c r="M130" s="23"/>
      <c r="N130" s="20"/>
      <c r="O130" s="16"/>
    </row>
    <row r="131" spans="1:15" s="6" customFormat="1" ht="14.1" customHeight="1">
      <c r="A131" s="146"/>
      <c r="B131" s="147"/>
      <c r="C131" s="43"/>
      <c r="D131" s="43"/>
      <c r="E131" s="43"/>
      <c r="F131" s="22"/>
      <c r="G131" s="43"/>
      <c r="H131" s="43"/>
      <c r="I131" s="23"/>
      <c r="J131" s="25" t="str">
        <f t="shared" si="2"/>
        <v/>
      </c>
      <c r="K131" s="25" t="str">
        <f t="shared" si="3"/>
        <v/>
      </c>
      <c r="L131" s="22"/>
      <c r="M131" s="23"/>
      <c r="N131" s="20"/>
      <c r="O131" s="16"/>
    </row>
    <row r="132" spans="1:15" s="6" customFormat="1" ht="14.1" customHeight="1">
      <c r="A132" s="146"/>
      <c r="B132" s="147"/>
      <c r="C132" s="43"/>
      <c r="D132" s="43"/>
      <c r="E132" s="43"/>
      <c r="F132" s="22"/>
      <c r="G132" s="43"/>
      <c r="H132" s="43"/>
      <c r="I132" s="23"/>
      <c r="J132" s="25" t="str">
        <f t="shared" si="2"/>
        <v/>
      </c>
      <c r="K132" s="25" t="str">
        <f t="shared" si="3"/>
        <v/>
      </c>
      <c r="L132" s="22"/>
      <c r="M132" s="23"/>
      <c r="N132" s="20"/>
      <c r="O132" s="16"/>
    </row>
    <row r="133" spans="1:15" s="6" customFormat="1" ht="14.1" customHeight="1">
      <c r="A133" s="146"/>
      <c r="B133" s="147"/>
      <c r="C133" s="43"/>
      <c r="D133" s="43"/>
      <c r="E133" s="43"/>
      <c r="F133" s="22"/>
      <c r="G133" s="43"/>
      <c r="H133" s="43"/>
      <c r="I133" s="23"/>
      <c r="J133" s="25" t="str">
        <f t="shared" si="2"/>
        <v/>
      </c>
      <c r="K133" s="25" t="str">
        <f t="shared" si="3"/>
        <v/>
      </c>
      <c r="L133" s="22"/>
      <c r="M133" s="23"/>
      <c r="N133" s="20"/>
      <c r="O133" s="16"/>
    </row>
    <row r="134" spans="1:15" s="6" customFormat="1" ht="14.1" customHeight="1">
      <c r="A134" s="146"/>
      <c r="B134" s="147"/>
      <c r="C134" s="43"/>
      <c r="D134" s="43"/>
      <c r="E134" s="43"/>
      <c r="F134" s="22"/>
      <c r="G134" s="43"/>
      <c r="H134" s="43"/>
      <c r="I134" s="23"/>
      <c r="J134" s="25" t="str">
        <f t="shared" si="2"/>
        <v/>
      </c>
      <c r="K134" s="25" t="str">
        <f t="shared" si="3"/>
        <v/>
      </c>
      <c r="L134" s="22"/>
      <c r="M134" s="23"/>
      <c r="N134" s="20"/>
      <c r="O134" s="16"/>
    </row>
    <row r="135" spans="1:15" s="6" customFormat="1" ht="14.1" customHeight="1">
      <c r="A135" s="146"/>
      <c r="B135" s="147"/>
      <c r="C135" s="43"/>
      <c r="D135" s="43"/>
      <c r="E135" s="43"/>
      <c r="F135" s="22"/>
      <c r="G135" s="43"/>
      <c r="H135" s="43"/>
      <c r="I135" s="23"/>
      <c r="J135" s="25" t="str">
        <f t="shared" si="2"/>
        <v/>
      </c>
      <c r="K135" s="25" t="str">
        <f t="shared" si="3"/>
        <v/>
      </c>
      <c r="L135" s="22"/>
      <c r="M135" s="23"/>
      <c r="N135" s="20"/>
      <c r="O135" s="16"/>
    </row>
    <row r="136" spans="1:15" s="6" customFormat="1" ht="14.1" customHeight="1">
      <c r="A136" s="146"/>
      <c r="B136" s="147"/>
      <c r="C136" s="43"/>
      <c r="D136" s="43"/>
      <c r="E136" s="43"/>
      <c r="F136" s="22"/>
      <c r="G136" s="43"/>
      <c r="H136" s="43"/>
      <c r="I136" s="23"/>
      <c r="J136" s="25" t="str">
        <f t="shared" si="2"/>
        <v/>
      </c>
      <c r="K136" s="25" t="str">
        <f t="shared" si="3"/>
        <v/>
      </c>
      <c r="L136" s="22"/>
      <c r="M136" s="23"/>
      <c r="N136" s="20"/>
      <c r="O136" s="16"/>
    </row>
    <row r="137" spans="1:15" s="6" customFormat="1" ht="14.1" customHeight="1">
      <c r="A137" s="146"/>
      <c r="B137" s="147"/>
      <c r="C137" s="43"/>
      <c r="D137" s="43"/>
      <c r="E137" s="43"/>
      <c r="F137" s="22"/>
      <c r="G137" s="43"/>
      <c r="H137" s="43"/>
      <c r="I137" s="23"/>
      <c r="J137" s="25" t="str">
        <f t="shared" si="2"/>
        <v/>
      </c>
      <c r="K137" s="25" t="str">
        <f t="shared" si="3"/>
        <v/>
      </c>
      <c r="L137" s="22"/>
      <c r="M137" s="23"/>
      <c r="N137" s="20"/>
      <c r="O137" s="16"/>
    </row>
    <row r="138" spans="1:15" s="6" customFormat="1" ht="14.1" customHeight="1">
      <c r="A138" s="146"/>
      <c r="B138" s="147"/>
      <c r="C138" s="43"/>
      <c r="D138" s="43"/>
      <c r="E138" s="43"/>
      <c r="F138" s="22"/>
      <c r="G138" s="43"/>
      <c r="H138" s="43"/>
      <c r="I138" s="23"/>
      <c r="J138" s="25" t="str">
        <f t="shared" si="2"/>
        <v/>
      </c>
      <c r="K138" s="25" t="str">
        <f t="shared" si="3"/>
        <v/>
      </c>
      <c r="L138" s="22"/>
      <c r="M138" s="23"/>
      <c r="N138" s="20"/>
      <c r="O138" s="16"/>
    </row>
    <row r="139" spans="1:15" s="6" customFormat="1" ht="14.1" customHeight="1">
      <c r="A139" s="146"/>
      <c r="B139" s="147"/>
      <c r="C139" s="43"/>
      <c r="D139" s="43"/>
      <c r="E139" s="43"/>
      <c r="F139" s="22"/>
      <c r="G139" s="43"/>
      <c r="H139" s="43"/>
      <c r="I139" s="23"/>
      <c r="J139" s="25" t="str">
        <f t="shared" si="2"/>
        <v/>
      </c>
      <c r="K139" s="25" t="str">
        <f t="shared" si="3"/>
        <v/>
      </c>
      <c r="L139" s="22"/>
      <c r="M139" s="23"/>
      <c r="N139" s="20"/>
      <c r="O139" s="16"/>
    </row>
    <row r="140" spans="1:15" s="6" customFormat="1" ht="14.1" customHeight="1">
      <c r="A140" s="146"/>
      <c r="B140" s="147"/>
      <c r="C140" s="43"/>
      <c r="D140" s="43"/>
      <c r="E140" s="43"/>
      <c r="F140" s="22"/>
      <c r="G140" s="43"/>
      <c r="H140" s="43"/>
      <c r="I140" s="23"/>
      <c r="J140" s="25" t="str">
        <f t="shared" si="2"/>
        <v/>
      </c>
      <c r="K140" s="25" t="str">
        <f t="shared" si="3"/>
        <v/>
      </c>
      <c r="L140" s="22"/>
      <c r="M140" s="23"/>
      <c r="N140" s="20"/>
      <c r="O140" s="16"/>
    </row>
    <row r="141" spans="1:15" s="6" customFormat="1" ht="14.1" customHeight="1">
      <c r="A141" s="146"/>
      <c r="B141" s="147"/>
      <c r="C141" s="43"/>
      <c r="D141" s="43"/>
      <c r="E141" s="43"/>
      <c r="F141" s="22"/>
      <c r="G141" s="43"/>
      <c r="H141" s="43"/>
      <c r="I141" s="23"/>
      <c r="J141" s="25" t="str">
        <f t="shared" ref="J141:J204" si="4">IF(D141&lt;&gt;"",D141,"")</f>
        <v/>
      </c>
      <c r="K141" s="25" t="str">
        <f t="shared" ref="K141:K204" si="5">IF(D141="Passed",E141,IF(D141="Warning",E141,""))</f>
        <v/>
      </c>
      <c r="L141" s="22"/>
      <c r="M141" s="23"/>
      <c r="N141" s="20"/>
      <c r="O141" s="16"/>
    </row>
    <row r="142" spans="1:15" s="6" customFormat="1" ht="14.1" customHeight="1">
      <c r="A142" s="146"/>
      <c r="B142" s="147"/>
      <c r="C142" s="43"/>
      <c r="D142" s="43"/>
      <c r="E142" s="43"/>
      <c r="F142" s="22"/>
      <c r="G142" s="43"/>
      <c r="H142" s="43"/>
      <c r="I142" s="23"/>
      <c r="J142" s="25" t="str">
        <f t="shared" si="4"/>
        <v/>
      </c>
      <c r="K142" s="25" t="str">
        <f t="shared" si="5"/>
        <v/>
      </c>
      <c r="L142" s="22"/>
      <c r="M142" s="23"/>
      <c r="N142" s="20"/>
      <c r="O142" s="16"/>
    </row>
    <row r="143" spans="1:15" s="6" customFormat="1" ht="14.1" customHeight="1">
      <c r="A143" s="146"/>
      <c r="B143" s="147"/>
      <c r="C143" s="43"/>
      <c r="D143" s="43"/>
      <c r="E143" s="43"/>
      <c r="F143" s="22"/>
      <c r="G143" s="43"/>
      <c r="H143" s="43"/>
      <c r="I143" s="23"/>
      <c r="J143" s="25" t="str">
        <f t="shared" si="4"/>
        <v/>
      </c>
      <c r="K143" s="25" t="str">
        <f t="shared" si="5"/>
        <v/>
      </c>
      <c r="L143" s="22"/>
      <c r="M143" s="23"/>
      <c r="N143" s="20"/>
      <c r="O143" s="16"/>
    </row>
    <row r="144" spans="1:15" s="6" customFormat="1" ht="14.1" customHeight="1">
      <c r="A144" s="146"/>
      <c r="B144" s="147"/>
      <c r="C144" s="43"/>
      <c r="D144" s="43"/>
      <c r="E144" s="43"/>
      <c r="F144" s="22"/>
      <c r="G144" s="43"/>
      <c r="H144" s="43"/>
      <c r="I144" s="23"/>
      <c r="J144" s="25" t="str">
        <f t="shared" si="4"/>
        <v/>
      </c>
      <c r="K144" s="25" t="str">
        <f t="shared" si="5"/>
        <v/>
      </c>
      <c r="L144" s="22"/>
      <c r="M144" s="23"/>
      <c r="N144" s="20"/>
      <c r="O144" s="16"/>
    </row>
    <row r="145" spans="1:15" s="6" customFormat="1" ht="14.1" customHeight="1">
      <c r="A145" s="146"/>
      <c r="B145" s="147"/>
      <c r="C145" s="43"/>
      <c r="D145" s="43"/>
      <c r="E145" s="43"/>
      <c r="F145" s="22"/>
      <c r="G145" s="43"/>
      <c r="H145" s="43"/>
      <c r="I145" s="23"/>
      <c r="J145" s="25" t="str">
        <f t="shared" si="4"/>
        <v/>
      </c>
      <c r="K145" s="25" t="str">
        <f t="shared" si="5"/>
        <v/>
      </c>
      <c r="L145" s="22"/>
      <c r="M145" s="23"/>
      <c r="N145" s="20"/>
      <c r="O145" s="16"/>
    </row>
    <row r="146" spans="1:15" s="6" customFormat="1" ht="14.1" customHeight="1">
      <c r="A146" s="146"/>
      <c r="B146" s="147"/>
      <c r="C146" s="43"/>
      <c r="D146" s="43"/>
      <c r="E146" s="43"/>
      <c r="F146" s="22"/>
      <c r="G146" s="43"/>
      <c r="H146" s="43"/>
      <c r="I146" s="23"/>
      <c r="J146" s="25" t="str">
        <f t="shared" si="4"/>
        <v/>
      </c>
      <c r="K146" s="25" t="str">
        <f t="shared" si="5"/>
        <v/>
      </c>
      <c r="L146" s="22"/>
      <c r="M146" s="23"/>
      <c r="N146" s="20"/>
      <c r="O146" s="16"/>
    </row>
    <row r="147" spans="1:15" s="6" customFormat="1" ht="14.1" customHeight="1">
      <c r="A147" s="146"/>
      <c r="B147" s="147"/>
      <c r="C147" s="43"/>
      <c r="D147" s="43"/>
      <c r="E147" s="43"/>
      <c r="F147" s="22"/>
      <c r="G147" s="43"/>
      <c r="H147" s="43"/>
      <c r="I147" s="23"/>
      <c r="J147" s="25" t="str">
        <f t="shared" si="4"/>
        <v/>
      </c>
      <c r="K147" s="25" t="str">
        <f t="shared" si="5"/>
        <v/>
      </c>
      <c r="L147" s="22"/>
      <c r="M147" s="23"/>
      <c r="N147" s="20"/>
      <c r="O147" s="16"/>
    </row>
    <row r="148" spans="1:15" s="6" customFormat="1" ht="14.1" customHeight="1">
      <c r="A148" s="146"/>
      <c r="B148" s="147"/>
      <c r="C148" s="43"/>
      <c r="D148" s="43"/>
      <c r="E148" s="43"/>
      <c r="F148" s="22"/>
      <c r="G148" s="43"/>
      <c r="H148" s="43"/>
      <c r="I148" s="23"/>
      <c r="J148" s="25" t="str">
        <f t="shared" si="4"/>
        <v/>
      </c>
      <c r="K148" s="25" t="str">
        <f t="shared" si="5"/>
        <v/>
      </c>
      <c r="L148" s="22"/>
      <c r="M148" s="23"/>
      <c r="N148" s="20"/>
      <c r="O148" s="16"/>
    </row>
    <row r="149" spans="1:15" s="6" customFormat="1" ht="14.1" customHeight="1">
      <c r="A149" s="146"/>
      <c r="B149" s="147"/>
      <c r="C149" s="43"/>
      <c r="D149" s="43"/>
      <c r="E149" s="43"/>
      <c r="F149" s="22"/>
      <c r="G149" s="43"/>
      <c r="H149" s="43"/>
      <c r="I149" s="23"/>
      <c r="J149" s="25" t="str">
        <f t="shared" si="4"/>
        <v/>
      </c>
      <c r="K149" s="25" t="str">
        <f t="shared" si="5"/>
        <v/>
      </c>
      <c r="L149" s="22"/>
      <c r="M149" s="23"/>
      <c r="N149" s="20"/>
      <c r="O149" s="16"/>
    </row>
    <row r="150" spans="1:15" s="6" customFormat="1" ht="14.1" customHeight="1">
      <c r="A150" s="146"/>
      <c r="B150" s="147"/>
      <c r="C150" s="43"/>
      <c r="D150" s="43"/>
      <c r="E150" s="43"/>
      <c r="F150" s="22"/>
      <c r="G150" s="43"/>
      <c r="H150" s="43"/>
      <c r="I150" s="23"/>
      <c r="J150" s="25" t="str">
        <f t="shared" si="4"/>
        <v/>
      </c>
      <c r="K150" s="25" t="str">
        <f t="shared" si="5"/>
        <v/>
      </c>
      <c r="L150" s="22"/>
      <c r="M150" s="23"/>
      <c r="N150" s="20"/>
      <c r="O150" s="16"/>
    </row>
    <row r="151" spans="1:15" s="6" customFormat="1" ht="14.1" customHeight="1">
      <c r="A151" s="146"/>
      <c r="B151" s="147"/>
      <c r="C151" s="43"/>
      <c r="D151" s="43"/>
      <c r="E151" s="43"/>
      <c r="F151" s="22"/>
      <c r="G151" s="43"/>
      <c r="H151" s="43"/>
      <c r="I151" s="23"/>
      <c r="J151" s="25" t="str">
        <f t="shared" si="4"/>
        <v/>
      </c>
      <c r="K151" s="25" t="str">
        <f t="shared" si="5"/>
        <v/>
      </c>
      <c r="L151" s="22"/>
      <c r="M151" s="23"/>
      <c r="N151" s="20"/>
      <c r="O151" s="16"/>
    </row>
    <row r="152" spans="1:15" s="6" customFormat="1" ht="14.1" customHeight="1">
      <c r="A152" s="146"/>
      <c r="B152" s="147"/>
      <c r="C152" s="43"/>
      <c r="D152" s="43"/>
      <c r="E152" s="43"/>
      <c r="F152" s="22"/>
      <c r="G152" s="43"/>
      <c r="H152" s="43"/>
      <c r="I152" s="23"/>
      <c r="J152" s="25" t="str">
        <f t="shared" si="4"/>
        <v/>
      </c>
      <c r="K152" s="25" t="str">
        <f t="shared" si="5"/>
        <v/>
      </c>
      <c r="L152" s="22"/>
      <c r="M152" s="23"/>
      <c r="N152" s="20"/>
      <c r="O152" s="16"/>
    </row>
    <row r="153" spans="1:15" s="6" customFormat="1" ht="14.1" customHeight="1">
      <c r="A153" s="146"/>
      <c r="B153" s="147"/>
      <c r="C153" s="43"/>
      <c r="D153" s="43"/>
      <c r="E153" s="43"/>
      <c r="F153" s="22"/>
      <c r="G153" s="43"/>
      <c r="H153" s="43"/>
      <c r="I153" s="23"/>
      <c r="J153" s="25" t="str">
        <f t="shared" si="4"/>
        <v/>
      </c>
      <c r="K153" s="25" t="str">
        <f t="shared" si="5"/>
        <v/>
      </c>
      <c r="L153" s="22"/>
      <c r="M153" s="23"/>
      <c r="N153" s="20"/>
      <c r="O153" s="16"/>
    </row>
    <row r="154" spans="1:15" s="6" customFormat="1" ht="14.1" customHeight="1">
      <c r="A154" s="146"/>
      <c r="B154" s="147"/>
      <c r="C154" s="43"/>
      <c r="D154" s="43"/>
      <c r="E154" s="43"/>
      <c r="F154" s="22"/>
      <c r="G154" s="43"/>
      <c r="H154" s="43"/>
      <c r="I154" s="23"/>
      <c r="J154" s="25" t="str">
        <f t="shared" si="4"/>
        <v/>
      </c>
      <c r="K154" s="25" t="str">
        <f t="shared" si="5"/>
        <v/>
      </c>
      <c r="L154" s="22"/>
      <c r="M154" s="23"/>
      <c r="N154" s="20"/>
      <c r="O154" s="16"/>
    </row>
    <row r="155" spans="1:15" s="6" customFormat="1" ht="14.1" customHeight="1">
      <c r="A155" s="146"/>
      <c r="B155" s="147"/>
      <c r="C155" s="43"/>
      <c r="D155" s="43"/>
      <c r="E155" s="43"/>
      <c r="F155" s="22"/>
      <c r="G155" s="43"/>
      <c r="H155" s="43"/>
      <c r="I155" s="23"/>
      <c r="J155" s="25" t="str">
        <f t="shared" si="4"/>
        <v/>
      </c>
      <c r="K155" s="25" t="str">
        <f t="shared" si="5"/>
        <v/>
      </c>
      <c r="L155" s="22"/>
      <c r="M155" s="23"/>
      <c r="N155" s="20"/>
      <c r="O155" s="16"/>
    </row>
    <row r="156" spans="1:15" s="6" customFormat="1" ht="14.1" customHeight="1">
      <c r="A156" s="146"/>
      <c r="B156" s="147"/>
      <c r="C156" s="43"/>
      <c r="D156" s="43"/>
      <c r="E156" s="43"/>
      <c r="F156" s="22"/>
      <c r="G156" s="43"/>
      <c r="H156" s="43"/>
      <c r="I156" s="23"/>
      <c r="J156" s="25" t="str">
        <f t="shared" si="4"/>
        <v/>
      </c>
      <c r="K156" s="25" t="str">
        <f t="shared" si="5"/>
        <v/>
      </c>
      <c r="L156" s="22"/>
      <c r="M156" s="23"/>
      <c r="N156" s="20"/>
      <c r="O156" s="16"/>
    </row>
    <row r="157" spans="1:15" s="6" customFormat="1" ht="14.1" customHeight="1">
      <c r="A157" s="146"/>
      <c r="B157" s="147"/>
      <c r="C157" s="43"/>
      <c r="D157" s="43"/>
      <c r="E157" s="43"/>
      <c r="F157" s="22"/>
      <c r="G157" s="43"/>
      <c r="H157" s="43"/>
      <c r="I157" s="23"/>
      <c r="J157" s="25" t="str">
        <f t="shared" si="4"/>
        <v/>
      </c>
      <c r="K157" s="25" t="str">
        <f t="shared" si="5"/>
        <v/>
      </c>
      <c r="L157" s="22"/>
      <c r="M157" s="23"/>
      <c r="N157" s="20"/>
      <c r="O157" s="16"/>
    </row>
    <row r="158" spans="1:15" s="6" customFormat="1" ht="14.1" customHeight="1">
      <c r="A158" s="146"/>
      <c r="B158" s="147"/>
      <c r="C158" s="43"/>
      <c r="D158" s="43"/>
      <c r="E158" s="43"/>
      <c r="F158" s="22"/>
      <c r="G158" s="43"/>
      <c r="H158" s="43"/>
      <c r="I158" s="23"/>
      <c r="J158" s="25" t="str">
        <f t="shared" si="4"/>
        <v/>
      </c>
      <c r="K158" s="25" t="str">
        <f t="shared" si="5"/>
        <v/>
      </c>
      <c r="L158" s="22"/>
      <c r="M158" s="23"/>
      <c r="N158" s="20"/>
      <c r="O158" s="16"/>
    </row>
    <row r="159" spans="1:15" s="6" customFormat="1" ht="14.1" customHeight="1">
      <c r="A159" s="146"/>
      <c r="B159" s="147"/>
      <c r="C159" s="43"/>
      <c r="D159" s="43"/>
      <c r="E159" s="43"/>
      <c r="F159" s="22"/>
      <c r="G159" s="43"/>
      <c r="H159" s="43"/>
      <c r="I159" s="23"/>
      <c r="J159" s="25" t="str">
        <f t="shared" si="4"/>
        <v/>
      </c>
      <c r="K159" s="25" t="str">
        <f t="shared" si="5"/>
        <v/>
      </c>
      <c r="L159" s="22"/>
      <c r="M159" s="23"/>
      <c r="N159" s="20"/>
      <c r="O159" s="16"/>
    </row>
    <row r="160" spans="1:15" s="6" customFormat="1" ht="14.1" customHeight="1">
      <c r="A160" s="146"/>
      <c r="B160" s="147"/>
      <c r="C160" s="43"/>
      <c r="D160" s="43"/>
      <c r="E160" s="43"/>
      <c r="F160" s="22"/>
      <c r="G160" s="43"/>
      <c r="H160" s="43"/>
      <c r="I160" s="23"/>
      <c r="J160" s="25" t="str">
        <f t="shared" si="4"/>
        <v/>
      </c>
      <c r="K160" s="25" t="str">
        <f t="shared" si="5"/>
        <v/>
      </c>
      <c r="L160" s="22"/>
      <c r="M160" s="23"/>
      <c r="N160" s="20"/>
      <c r="O160" s="16"/>
    </row>
    <row r="161" spans="1:15" s="6" customFormat="1" ht="14.1" customHeight="1">
      <c r="A161" s="146"/>
      <c r="B161" s="147"/>
      <c r="C161" s="43"/>
      <c r="D161" s="43"/>
      <c r="E161" s="43"/>
      <c r="F161" s="22"/>
      <c r="G161" s="43"/>
      <c r="H161" s="43"/>
      <c r="I161" s="23"/>
      <c r="J161" s="25" t="str">
        <f t="shared" si="4"/>
        <v/>
      </c>
      <c r="K161" s="25" t="str">
        <f t="shared" si="5"/>
        <v/>
      </c>
      <c r="L161" s="22"/>
      <c r="M161" s="23"/>
      <c r="N161" s="20"/>
      <c r="O161" s="16"/>
    </row>
    <row r="162" spans="1:15" s="6" customFormat="1" ht="14.1" customHeight="1">
      <c r="A162" s="146"/>
      <c r="B162" s="147"/>
      <c r="C162" s="43"/>
      <c r="D162" s="43"/>
      <c r="E162" s="43"/>
      <c r="F162" s="22"/>
      <c r="G162" s="43"/>
      <c r="H162" s="43"/>
      <c r="I162" s="23"/>
      <c r="J162" s="25" t="str">
        <f t="shared" si="4"/>
        <v/>
      </c>
      <c r="K162" s="25" t="str">
        <f t="shared" si="5"/>
        <v/>
      </c>
      <c r="L162" s="22"/>
      <c r="M162" s="23"/>
      <c r="N162" s="20"/>
      <c r="O162" s="16"/>
    </row>
    <row r="163" spans="1:15" s="6" customFormat="1" ht="14.1" customHeight="1">
      <c r="A163" s="146"/>
      <c r="B163" s="147"/>
      <c r="C163" s="43"/>
      <c r="D163" s="43"/>
      <c r="E163" s="43"/>
      <c r="F163" s="22"/>
      <c r="G163" s="43"/>
      <c r="H163" s="43"/>
      <c r="I163" s="23"/>
      <c r="J163" s="25" t="str">
        <f t="shared" si="4"/>
        <v/>
      </c>
      <c r="K163" s="25" t="str">
        <f t="shared" si="5"/>
        <v/>
      </c>
      <c r="L163" s="22"/>
      <c r="M163" s="23"/>
      <c r="N163" s="20"/>
      <c r="O163" s="16"/>
    </row>
    <row r="164" spans="1:15" s="6" customFormat="1" ht="14.1" customHeight="1">
      <c r="A164" s="146"/>
      <c r="B164" s="147"/>
      <c r="C164" s="43"/>
      <c r="D164" s="43"/>
      <c r="E164" s="43"/>
      <c r="F164" s="22"/>
      <c r="G164" s="43"/>
      <c r="H164" s="43"/>
      <c r="I164" s="23"/>
      <c r="J164" s="25" t="str">
        <f t="shared" si="4"/>
        <v/>
      </c>
      <c r="K164" s="25" t="str">
        <f t="shared" si="5"/>
        <v/>
      </c>
      <c r="L164" s="22"/>
      <c r="M164" s="23"/>
      <c r="N164" s="20"/>
      <c r="O164" s="16"/>
    </row>
    <row r="165" spans="1:15" s="6" customFormat="1" ht="14.1" customHeight="1">
      <c r="A165" s="146"/>
      <c r="B165" s="147"/>
      <c r="C165" s="43"/>
      <c r="D165" s="43"/>
      <c r="E165" s="43"/>
      <c r="F165" s="22"/>
      <c r="G165" s="43"/>
      <c r="H165" s="43"/>
      <c r="I165" s="23"/>
      <c r="J165" s="25" t="str">
        <f t="shared" si="4"/>
        <v/>
      </c>
      <c r="K165" s="25" t="str">
        <f t="shared" si="5"/>
        <v/>
      </c>
      <c r="L165" s="22"/>
      <c r="M165" s="23"/>
      <c r="N165" s="20"/>
      <c r="O165" s="16"/>
    </row>
    <row r="166" spans="1:15" s="6" customFormat="1" ht="14.1" customHeight="1">
      <c r="A166" s="146"/>
      <c r="B166" s="147"/>
      <c r="C166" s="43"/>
      <c r="D166" s="43"/>
      <c r="E166" s="43"/>
      <c r="F166" s="22"/>
      <c r="G166" s="43"/>
      <c r="H166" s="43"/>
      <c r="I166" s="23"/>
      <c r="J166" s="25" t="str">
        <f t="shared" si="4"/>
        <v/>
      </c>
      <c r="K166" s="25" t="str">
        <f t="shared" si="5"/>
        <v/>
      </c>
      <c r="L166" s="22"/>
      <c r="M166" s="23"/>
      <c r="N166" s="20"/>
      <c r="O166" s="16"/>
    </row>
    <row r="167" spans="1:15" s="6" customFormat="1" ht="14.1" customHeight="1">
      <c r="A167" s="146"/>
      <c r="B167" s="147"/>
      <c r="C167" s="43"/>
      <c r="D167" s="43"/>
      <c r="E167" s="43"/>
      <c r="F167" s="22"/>
      <c r="G167" s="43"/>
      <c r="H167" s="43"/>
      <c r="I167" s="23"/>
      <c r="J167" s="25" t="str">
        <f t="shared" si="4"/>
        <v/>
      </c>
      <c r="K167" s="25" t="str">
        <f t="shared" si="5"/>
        <v/>
      </c>
      <c r="L167" s="22"/>
      <c r="M167" s="23"/>
      <c r="N167" s="20"/>
      <c r="O167" s="16"/>
    </row>
    <row r="168" spans="1:15" s="6" customFormat="1" ht="14.1" customHeight="1">
      <c r="A168" s="146"/>
      <c r="B168" s="147"/>
      <c r="C168" s="43"/>
      <c r="D168" s="43"/>
      <c r="E168" s="43"/>
      <c r="F168" s="22"/>
      <c r="G168" s="43"/>
      <c r="H168" s="43"/>
      <c r="I168" s="23"/>
      <c r="J168" s="25" t="str">
        <f t="shared" si="4"/>
        <v/>
      </c>
      <c r="K168" s="25" t="str">
        <f t="shared" si="5"/>
        <v/>
      </c>
      <c r="L168" s="22"/>
      <c r="M168" s="23"/>
      <c r="N168" s="20"/>
      <c r="O168" s="16"/>
    </row>
    <row r="169" spans="1:15" s="6" customFormat="1" ht="14.1" customHeight="1">
      <c r="A169" s="146"/>
      <c r="B169" s="147"/>
      <c r="C169" s="43"/>
      <c r="D169" s="43"/>
      <c r="E169" s="43"/>
      <c r="F169" s="22"/>
      <c r="G169" s="43"/>
      <c r="H169" s="43"/>
      <c r="I169" s="23"/>
      <c r="J169" s="25" t="str">
        <f t="shared" si="4"/>
        <v/>
      </c>
      <c r="K169" s="25" t="str">
        <f t="shared" si="5"/>
        <v/>
      </c>
      <c r="L169" s="22"/>
      <c r="M169" s="23"/>
      <c r="N169" s="20"/>
      <c r="O169" s="16"/>
    </row>
    <row r="170" spans="1:15" s="6" customFormat="1" ht="14.1" customHeight="1">
      <c r="A170" s="146"/>
      <c r="B170" s="147"/>
      <c r="C170" s="43"/>
      <c r="D170" s="43"/>
      <c r="E170" s="43"/>
      <c r="F170" s="22"/>
      <c r="G170" s="43"/>
      <c r="H170" s="43"/>
      <c r="I170" s="23"/>
      <c r="J170" s="25" t="str">
        <f t="shared" si="4"/>
        <v/>
      </c>
      <c r="K170" s="25" t="str">
        <f t="shared" si="5"/>
        <v/>
      </c>
      <c r="L170" s="22"/>
      <c r="M170" s="23"/>
      <c r="N170" s="20"/>
      <c r="O170" s="16"/>
    </row>
    <row r="171" spans="1:15" s="6" customFormat="1" ht="14.1" customHeight="1">
      <c r="A171" s="146"/>
      <c r="B171" s="147"/>
      <c r="C171" s="43"/>
      <c r="D171" s="43"/>
      <c r="E171" s="43"/>
      <c r="F171" s="22"/>
      <c r="G171" s="43"/>
      <c r="H171" s="43"/>
      <c r="I171" s="23"/>
      <c r="J171" s="25" t="str">
        <f t="shared" si="4"/>
        <v/>
      </c>
      <c r="K171" s="25" t="str">
        <f t="shared" si="5"/>
        <v/>
      </c>
      <c r="L171" s="22"/>
      <c r="M171" s="23"/>
      <c r="N171" s="20"/>
      <c r="O171" s="16"/>
    </row>
    <row r="172" spans="1:15" s="6" customFormat="1" ht="14.1" customHeight="1">
      <c r="A172" s="146"/>
      <c r="B172" s="147"/>
      <c r="C172" s="43"/>
      <c r="D172" s="43"/>
      <c r="E172" s="43"/>
      <c r="F172" s="22"/>
      <c r="G172" s="43"/>
      <c r="H172" s="43"/>
      <c r="I172" s="23"/>
      <c r="J172" s="25" t="str">
        <f t="shared" si="4"/>
        <v/>
      </c>
      <c r="K172" s="25" t="str">
        <f t="shared" si="5"/>
        <v/>
      </c>
      <c r="L172" s="22"/>
      <c r="M172" s="23"/>
      <c r="N172" s="20"/>
      <c r="O172" s="16"/>
    </row>
    <row r="173" spans="1:15" s="6" customFormat="1" ht="14.1" customHeight="1">
      <c r="A173" s="146"/>
      <c r="B173" s="147"/>
      <c r="C173" s="43"/>
      <c r="D173" s="43"/>
      <c r="E173" s="43"/>
      <c r="F173" s="22"/>
      <c r="G173" s="43"/>
      <c r="H173" s="43"/>
      <c r="I173" s="23"/>
      <c r="J173" s="25" t="str">
        <f t="shared" si="4"/>
        <v/>
      </c>
      <c r="K173" s="25" t="str">
        <f t="shared" si="5"/>
        <v/>
      </c>
      <c r="L173" s="22"/>
      <c r="M173" s="23"/>
      <c r="N173" s="20"/>
      <c r="O173" s="16"/>
    </row>
    <row r="174" spans="1:15" s="6" customFormat="1" ht="14.1" customHeight="1">
      <c r="A174" s="146"/>
      <c r="B174" s="147"/>
      <c r="C174" s="43"/>
      <c r="D174" s="43"/>
      <c r="E174" s="43"/>
      <c r="F174" s="22"/>
      <c r="G174" s="43"/>
      <c r="H174" s="43"/>
      <c r="I174" s="23"/>
      <c r="J174" s="25" t="str">
        <f t="shared" si="4"/>
        <v/>
      </c>
      <c r="K174" s="25" t="str">
        <f t="shared" si="5"/>
        <v/>
      </c>
      <c r="L174" s="22"/>
      <c r="M174" s="23"/>
      <c r="N174" s="20"/>
      <c r="O174" s="16"/>
    </row>
    <row r="175" spans="1:15" s="6" customFormat="1" ht="14.1" customHeight="1">
      <c r="A175" s="146"/>
      <c r="B175" s="147"/>
      <c r="C175" s="43"/>
      <c r="D175" s="43"/>
      <c r="E175" s="43"/>
      <c r="F175" s="22"/>
      <c r="G175" s="43"/>
      <c r="H175" s="43"/>
      <c r="I175" s="23"/>
      <c r="J175" s="25" t="str">
        <f t="shared" si="4"/>
        <v/>
      </c>
      <c r="K175" s="25" t="str">
        <f t="shared" si="5"/>
        <v/>
      </c>
      <c r="L175" s="22"/>
      <c r="M175" s="23"/>
      <c r="N175" s="20"/>
      <c r="O175" s="16"/>
    </row>
    <row r="176" spans="1:15" s="6" customFormat="1" ht="14.1" customHeight="1">
      <c r="A176" s="146"/>
      <c r="B176" s="147"/>
      <c r="C176" s="43"/>
      <c r="D176" s="43"/>
      <c r="E176" s="43"/>
      <c r="F176" s="22"/>
      <c r="G176" s="43"/>
      <c r="H176" s="43"/>
      <c r="I176" s="23"/>
      <c r="J176" s="25" t="str">
        <f t="shared" si="4"/>
        <v/>
      </c>
      <c r="K176" s="25" t="str">
        <f t="shared" si="5"/>
        <v/>
      </c>
      <c r="L176" s="22"/>
      <c r="M176" s="23"/>
      <c r="N176" s="20"/>
      <c r="O176" s="16"/>
    </row>
    <row r="177" spans="1:15" s="6" customFormat="1" ht="14.1" customHeight="1">
      <c r="A177" s="146"/>
      <c r="B177" s="147"/>
      <c r="C177" s="43"/>
      <c r="D177" s="43"/>
      <c r="E177" s="43"/>
      <c r="F177" s="22"/>
      <c r="G177" s="43"/>
      <c r="H177" s="43"/>
      <c r="I177" s="23"/>
      <c r="J177" s="25" t="str">
        <f t="shared" si="4"/>
        <v/>
      </c>
      <c r="K177" s="25" t="str">
        <f t="shared" si="5"/>
        <v/>
      </c>
      <c r="L177" s="22"/>
      <c r="M177" s="23"/>
      <c r="N177" s="20"/>
      <c r="O177" s="16"/>
    </row>
    <row r="178" spans="1:15" s="6" customFormat="1" ht="14.1" customHeight="1">
      <c r="A178" s="146"/>
      <c r="B178" s="147"/>
      <c r="C178" s="43"/>
      <c r="D178" s="43"/>
      <c r="E178" s="43"/>
      <c r="F178" s="22"/>
      <c r="G178" s="43"/>
      <c r="H178" s="43"/>
      <c r="I178" s="23"/>
      <c r="J178" s="25" t="str">
        <f t="shared" si="4"/>
        <v/>
      </c>
      <c r="K178" s="25" t="str">
        <f t="shared" si="5"/>
        <v/>
      </c>
      <c r="L178" s="22"/>
      <c r="M178" s="23"/>
      <c r="N178" s="20"/>
      <c r="O178" s="16"/>
    </row>
    <row r="179" spans="1:15" s="6" customFormat="1" ht="14.1" customHeight="1">
      <c r="A179" s="146"/>
      <c r="B179" s="147"/>
      <c r="C179" s="43"/>
      <c r="D179" s="43"/>
      <c r="E179" s="43"/>
      <c r="F179" s="22"/>
      <c r="G179" s="43"/>
      <c r="H179" s="43"/>
      <c r="I179" s="23"/>
      <c r="J179" s="25" t="str">
        <f t="shared" si="4"/>
        <v/>
      </c>
      <c r="K179" s="25" t="str">
        <f t="shared" si="5"/>
        <v/>
      </c>
      <c r="L179" s="22"/>
      <c r="M179" s="23"/>
      <c r="N179" s="20"/>
      <c r="O179" s="16"/>
    </row>
    <row r="180" spans="1:15" s="6" customFormat="1" ht="14.1" customHeight="1">
      <c r="A180" s="146"/>
      <c r="B180" s="147"/>
      <c r="C180" s="43"/>
      <c r="D180" s="43"/>
      <c r="E180" s="43"/>
      <c r="F180" s="22"/>
      <c r="G180" s="43"/>
      <c r="H180" s="43"/>
      <c r="I180" s="23"/>
      <c r="J180" s="25" t="str">
        <f t="shared" si="4"/>
        <v/>
      </c>
      <c r="K180" s="25" t="str">
        <f t="shared" si="5"/>
        <v/>
      </c>
      <c r="L180" s="22"/>
      <c r="M180" s="23"/>
      <c r="N180" s="20"/>
      <c r="O180" s="16"/>
    </row>
    <row r="181" spans="1:15" s="6" customFormat="1" ht="14.1" customHeight="1">
      <c r="A181" s="146"/>
      <c r="B181" s="147"/>
      <c r="C181" s="43"/>
      <c r="D181" s="43"/>
      <c r="E181" s="43"/>
      <c r="F181" s="22"/>
      <c r="G181" s="43"/>
      <c r="H181" s="43"/>
      <c r="I181" s="23"/>
      <c r="J181" s="25" t="str">
        <f t="shared" si="4"/>
        <v/>
      </c>
      <c r="K181" s="25" t="str">
        <f t="shared" si="5"/>
        <v/>
      </c>
      <c r="L181" s="22"/>
      <c r="M181" s="23"/>
      <c r="N181" s="20"/>
      <c r="O181" s="16"/>
    </row>
    <row r="182" spans="1:15" s="6" customFormat="1" ht="14.1" customHeight="1">
      <c r="A182" s="146"/>
      <c r="B182" s="147"/>
      <c r="C182" s="43"/>
      <c r="D182" s="43"/>
      <c r="E182" s="43"/>
      <c r="F182" s="22"/>
      <c r="G182" s="43"/>
      <c r="H182" s="43"/>
      <c r="I182" s="23"/>
      <c r="J182" s="25" t="str">
        <f t="shared" si="4"/>
        <v/>
      </c>
      <c r="K182" s="25" t="str">
        <f t="shared" si="5"/>
        <v/>
      </c>
      <c r="L182" s="22"/>
      <c r="M182" s="23"/>
      <c r="N182" s="20"/>
      <c r="O182" s="16"/>
    </row>
    <row r="183" spans="1:15" s="6" customFormat="1" ht="14.1" customHeight="1">
      <c r="A183" s="146"/>
      <c r="B183" s="147"/>
      <c r="C183" s="43"/>
      <c r="D183" s="43"/>
      <c r="E183" s="43"/>
      <c r="F183" s="22"/>
      <c r="G183" s="43"/>
      <c r="H183" s="43"/>
      <c r="I183" s="23"/>
      <c r="J183" s="25" t="str">
        <f t="shared" si="4"/>
        <v/>
      </c>
      <c r="K183" s="25" t="str">
        <f t="shared" si="5"/>
        <v/>
      </c>
      <c r="L183" s="22"/>
      <c r="M183" s="23"/>
      <c r="N183" s="20"/>
      <c r="O183" s="16"/>
    </row>
    <row r="184" spans="1:15" s="6" customFormat="1" ht="14.1" customHeight="1">
      <c r="A184" s="146"/>
      <c r="B184" s="147"/>
      <c r="C184" s="43"/>
      <c r="D184" s="43"/>
      <c r="E184" s="43"/>
      <c r="F184" s="22"/>
      <c r="G184" s="43"/>
      <c r="H184" s="43"/>
      <c r="I184" s="23"/>
      <c r="J184" s="25" t="str">
        <f t="shared" si="4"/>
        <v/>
      </c>
      <c r="K184" s="25" t="str">
        <f t="shared" si="5"/>
        <v/>
      </c>
      <c r="L184" s="22"/>
      <c r="M184" s="23"/>
      <c r="N184" s="20"/>
      <c r="O184" s="16"/>
    </row>
    <row r="185" spans="1:15" s="6" customFormat="1" ht="14.1" customHeight="1">
      <c r="A185" s="146"/>
      <c r="B185" s="147"/>
      <c r="C185" s="43"/>
      <c r="D185" s="43"/>
      <c r="E185" s="43"/>
      <c r="F185" s="22"/>
      <c r="G185" s="43"/>
      <c r="H185" s="43"/>
      <c r="I185" s="23"/>
      <c r="J185" s="25" t="str">
        <f t="shared" si="4"/>
        <v/>
      </c>
      <c r="K185" s="25" t="str">
        <f t="shared" si="5"/>
        <v/>
      </c>
      <c r="L185" s="22"/>
      <c r="M185" s="23"/>
      <c r="N185" s="20"/>
      <c r="O185" s="16"/>
    </row>
    <row r="186" spans="1:15" s="6" customFormat="1" ht="14.1" customHeight="1">
      <c r="A186" s="146"/>
      <c r="B186" s="147"/>
      <c r="C186" s="43"/>
      <c r="D186" s="43"/>
      <c r="E186" s="43"/>
      <c r="F186" s="22"/>
      <c r="G186" s="43"/>
      <c r="H186" s="43"/>
      <c r="I186" s="23"/>
      <c r="J186" s="25" t="str">
        <f t="shared" si="4"/>
        <v/>
      </c>
      <c r="K186" s="25" t="str">
        <f t="shared" si="5"/>
        <v/>
      </c>
      <c r="L186" s="22"/>
      <c r="M186" s="23"/>
      <c r="N186" s="20"/>
      <c r="O186" s="16"/>
    </row>
    <row r="187" spans="1:15" s="6" customFormat="1" ht="14.1" customHeight="1">
      <c r="A187" s="146"/>
      <c r="B187" s="147"/>
      <c r="C187" s="43"/>
      <c r="D187" s="43"/>
      <c r="E187" s="43"/>
      <c r="F187" s="22"/>
      <c r="G187" s="43"/>
      <c r="H187" s="43"/>
      <c r="I187" s="23"/>
      <c r="J187" s="25" t="str">
        <f t="shared" si="4"/>
        <v/>
      </c>
      <c r="K187" s="25" t="str">
        <f t="shared" si="5"/>
        <v/>
      </c>
      <c r="L187" s="22"/>
      <c r="M187" s="23"/>
      <c r="N187" s="20"/>
      <c r="O187" s="16"/>
    </row>
    <row r="188" spans="1:15" s="6" customFormat="1" ht="14.1" customHeight="1">
      <c r="A188" s="146"/>
      <c r="B188" s="147"/>
      <c r="C188" s="43"/>
      <c r="D188" s="43"/>
      <c r="E188" s="43"/>
      <c r="F188" s="22"/>
      <c r="G188" s="43"/>
      <c r="H188" s="43"/>
      <c r="I188" s="23"/>
      <c r="J188" s="25" t="str">
        <f t="shared" si="4"/>
        <v/>
      </c>
      <c r="K188" s="25" t="str">
        <f t="shared" si="5"/>
        <v/>
      </c>
      <c r="L188" s="22"/>
      <c r="M188" s="23"/>
      <c r="N188" s="20"/>
      <c r="O188" s="16"/>
    </row>
    <row r="189" spans="1:15" s="6" customFormat="1" ht="14.1" customHeight="1">
      <c r="A189" s="146"/>
      <c r="B189" s="147"/>
      <c r="C189" s="43"/>
      <c r="D189" s="43"/>
      <c r="E189" s="43"/>
      <c r="F189" s="22"/>
      <c r="G189" s="43"/>
      <c r="H189" s="43"/>
      <c r="I189" s="23"/>
      <c r="J189" s="25" t="str">
        <f t="shared" si="4"/>
        <v/>
      </c>
      <c r="K189" s="25" t="str">
        <f t="shared" si="5"/>
        <v/>
      </c>
      <c r="L189" s="22"/>
      <c r="M189" s="23"/>
      <c r="N189" s="20"/>
      <c r="O189" s="16"/>
    </row>
    <row r="190" spans="1:15" s="6" customFormat="1" ht="14.1" customHeight="1">
      <c r="A190" s="146"/>
      <c r="B190" s="147"/>
      <c r="C190" s="43"/>
      <c r="D190" s="43"/>
      <c r="E190" s="43"/>
      <c r="F190" s="22"/>
      <c r="G190" s="43"/>
      <c r="H190" s="43"/>
      <c r="I190" s="23"/>
      <c r="J190" s="25" t="str">
        <f t="shared" si="4"/>
        <v/>
      </c>
      <c r="K190" s="25" t="str">
        <f t="shared" si="5"/>
        <v/>
      </c>
      <c r="L190" s="22"/>
      <c r="M190" s="23"/>
      <c r="N190" s="20"/>
      <c r="O190" s="16"/>
    </row>
    <row r="191" spans="1:15" s="6" customFormat="1" ht="14.1" customHeight="1">
      <c r="A191" s="146"/>
      <c r="B191" s="147"/>
      <c r="C191" s="43"/>
      <c r="D191" s="43"/>
      <c r="E191" s="43"/>
      <c r="F191" s="22"/>
      <c r="G191" s="43"/>
      <c r="H191" s="43"/>
      <c r="I191" s="23"/>
      <c r="J191" s="25" t="str">
        <f t="shared" si="4"/>
        <v/>
      </c>
      <c r="K191" s="25" t="str">
        <f t="shared" si="5"/>
        <v/>
      </c>
      <c r="L191" s="22"/>
      <c r="M191" s="23"/>
      <c r="N191" s="20"/>
      <c r="O191" s="16"/>
    </row>
    <row r="192" spans="1:15" s="6" customFormat="1" ht="14.1" customHeight="1">
      <c r="A192" s="146"/>
      <c r="B192" s="147"/>
      <c r="C192" s="43"/>
      <c r="D192" s="43"/>
      <c r="E192" s="43"/>
      <c r="F192" s="22"/>
      <c r="G192" s="43"/>
      <c r="H192" s="43"/>
      <c r="I192" s="23"/>
      <c r="J192" s="25" t="str">
        <f t="shared" si="4"/>
        <v/>
      </c>
      <c r="K192" s="25" t="str">
        <f t="shared" si="5"/>
        <v/>
      </c>
      <c r="L192" s="22"/>
      <c r="M192" s="23"/>
      <c r="N192" s="20"/>
      <c r="O192" s="16"/>
    </row>
    <row r="193" spans="1:15" s="6" customFormat="1" ht="14.1" customHeight="1">
      <c r="A193" s="146"/>
      <c r="B193" s="147"/>
      <c r="C193" s="43"/>
      <c r="D193" s="43"/>
      <c r="E193" s="43"/>
      <c r="F193" s="22"/>
      <c r="G193" s="43"/>
      <c r="H193" s="43"/>
      <c r="I193" s="23"/>
      <c r="J193" s="25" t="str">
        <f t="shared" si="4"/>
        <v/>
      </c>
      <c r="K193" s="25" t="str">
        <f t="shared" si="5"/>
        <v/>
      </c>
      <c r="L193" s="22"/>
      <c r="M193" s="23"/>
      <c r="N193" s="20"/>
      <c r="O193" s="16"/>
    </row>
    <row r="194" spans="1:15" s="6" customFormat="1" ht="14.1" customHeight="1">
      <c r="A194" s="146"/>
      <c r="B194" s="147"/>
      <c r="C194" s="43"/>
      <c r="D194" s="43"/>
      <c r="E194" s="43"/>
      <c r="F194" s="22"/>
      <c r="G194" s="43"/>
      <c r="H194" s="43"/>
      <c r="I194" s="23"/>
      <c r="J194" s="25" t="str">
        <f t="shared" si="4"/>
        <v/>
      </c>
      <c r="K194" s="25" t="str">
        <f t="shared" si="5"/>
        <v/>
      </c>
      <c r="L194" s="22"/>
      <c r="M194" s="23"/>
      <c r="N194" s="20"/>
      <c r="O194" s="16"/>
    </row>
    <row r="195" spans="1:15" s="6" customFormat="1" ht="14.1" customHeight="1">
      <c r="A195" s="146"/>
      <c r="B195" s="147"/>
      <c r="C195" s="43"/>
      <c r="D195" s="43"/>
      <c r="E195" s="43"/>
      <c r="F195" s="22"/>
      <c r="G195" s="43"/>
      <c r="H195" s="43"/>
      <c r="I195" s="23"/>
      <c r="J195" s="25" t="str">
        <f t="shared" si="4"/>
        <v/>
      </c>
      <c r="K195" s="25" t="str">
        <f t="shared" si="5"/>
        <v/>
      </c>
      <c r="L195" s="22"/>
      <c r="M195" s="23"/>
      <c r="N195" s="20"/>
      <c r="O195" s="16"/>
    </row>
    <row r="196" spans="1:15" s="6" customFormat="1" ht="14.1" customHeight="1">
      <c r="A196" s="146"/>
      <c r="B196" s="147"/>
      <c r="C196" s="43"/>
      <c r="D196" s="43"/>
      <c r="E196" s="43"/>
      <c r="F196" s="22"/>
      <c r="G196" s="43"/>
      <c r="H196" s="43"/>
      <c r="I196" s="23"/>
      <c r="J196" s="25" t="str">
        <f t="shared" si="4"/>
        <v/>
      </c>
      <c r="K196" s="25" t="str">
        <f t="shared" si="5"/>
        <v/>
      </c>
      <c r="L196" s="22"/>
      <c r="M196" s="23"/>
      <c r="N196" s="20"/>
      <c r="O196" s="16"/>
    </row>
    <row r="197" spans="1:15" s="6" customFormat="1" ht="14.1" customHeight="1">
      <c r="A197" s="146"/>
      <c r="B197" s="147"/>
      <c r="C197" s="43"/>
      <c r="D197" s="43"/>
      <c r="E197" s="43"/>
      <c r="F197" s="22"/>
      <c r="G197" s="43"/>
      <c r="H197" s="43"/>
      <c r="I197" s="23"/>
      <c r="J197" s="25" t="str">
        <f t="shared" si="4"/>
        <v/>
      </c>
      <c r="K197" s="25" t="str">
        <f t="shared" si="5"/>
        <v/>
      </c>
      <c r="L197" s="22"/>
      <c r="M197" s="23"/>
      <c r="N197" s="20"/>
      <c r="O197" s="16"/>
    </row>
    <row r="198" spans="1:15" s="6" customFormat="1" ht="14.1" customHeight="1">
      <c r="A198" s="146"/>
      <c r="B198" s="147"/>
      <c r="C198" s="43"/>
      <c r="D198" s="43"/>
      <c r="E198" s="43"/>
      <c r="F198" s="22"/>
      <c r="G198" s="43"/>
      <c r="H198" s="43"/>
      <c r="I198" s="23"/>
      <c r="J198" s="25" t="str">
        <f t="shared" si="4"/>
        <v/>
      </c>
      <c r="K198" s="25" t="str">
        <f t="shared" si="5"/>
        <v/>
      </c>
      <c r="L198" s="22"/>
      <c r="M198" s="23"/>
      <c r="N198" s="20"/>
      <c r="O198" s="16"/>
    </row>
    <row r="199" spans="1:15" s="6" customFormat="1" ht="14.1" customHeight="1">
      <c r="A199" s="146"/>
      <c r="B199" s="147"/>
      <c r="C199" s="43"/>
      <c r="D199" s="43"/>
      <c r="E199" s="43"/>
      <c r="F199" s="22"/>
      <c r="G199" s="43"/>
      <c r="H199" s="43"/>
      <c r="I199" s="23"/>
      <c r="J199" s="25" t="str">
        <f t="shared" si="4"/>
        <v/>
      </c>
      <c r="K199" s="25" t="str">
        <f t="shared" si="5"/>
        <v/>
      </c>
      <c r="L199" s="22"/>
      <c r="M199" s="23"/>
      <c r="N199" s="20"/>
      <c r="O199" s="16"/>
    </row>
    <row r="200" spans="1:15" s="6" customFormat="1" ht="14.1" customHeight="1">
      <c r="A200" s="146"/>
      <c r="B200" s="147"/>
      <c r="C200" s="43"/>
      <c r="D200" s="43"/>
      <c r="E200" s="43"/>
      <c r="F200" s="22"/>
      <c r="G200" s="43"/>
      <c r="H200" s="43"/>
      <c r="I200" s="23"/>
      <c r="J200" s="25" t="str">
        <f t="shared" si="4"/>
        <v/>
      </c>
      <c r="K200" s="25" t="str">
        <f t="shared" si="5"/>
        <v/>
      </c>
      <c r="L200" s="22"/>
      <c r="M200" s="23"/>
      <c r="N200" s="20"/>
      <c r="O200" s="16"/>
    </row>
    <row r="201" spans="1:15" s="6" customFormat="1" ht="14.1" customHeight="1">
      <c r="A201" s="146"/>
      <c r="B201" s="147"/>
      <c r="C201" s="43"/>
      <c r="D201" s="43"/>
      <c r="E201" s="43"/>
      <c r="F201" s="22"/>
      <c r="G201" s="43"/>
      <c r="H201" s="43"/>
      <c r="I201" s="23"/>
      <c r="J201" s="25" t="str">
        <f t="shared" si="4"/>
        <v/>
      </c>
      <c r="K201" s="25" t="str">
        <f t="shared" si="5"/>
        <v/>
      </c>
      <c r="L201" s="22"/>
      <c r="M201" s="23"/>
      <c r="N201" s="20"/>
      <c r="O201" s="16"/>
    </row>
    <row r="202" spans="1:15" s="6" customFormat="1" ht="14.1" customHeight="1">
      <c r="A202" s="146"/>
      <c r="B202" s="147"/>
      <c r="C202" s="43"/>
      <c r="D202" s="43"/>
      <c r="E202" s="43"/>
      <c r="F202" s="22"/>
      <c r="G202" s="43"/>
      <c r="H202" s="43"/>
      <c r="I202" s="23"/>
      <c r="J202" s="25" t="str">
        <f t="shared" si="4"/>
        <v/>
      </c>
      <c r="K202" s="25" t="str">
        <f t="shared" si="5"/>
        <v/>
      </c>
      <c r="L202" s="22"/>
      <c r="M202" s="23"/>
      <c r="N202" s="20"/>
      <c r="O202" s="16"/>
    </row>
    <row r="203" spans="1:15" s="6" customFormat="1" ht="14.1" customHeight="1">
      <c r="A203" s="146"/>
      <c r="B203" s="147"/>
      <c r="C203" s="43"/>
      <c r="D203" s="43"/>
      <c r="E203" s="43"/>
      <c r="F203" s="22"/>
      <c r="G203" s="43"/>
      <c r="H203" s="43"/>
      <c r="I203" s="23"/>
      <c r="J203" s="25" t="str">
        <f t="shared" si="4"/>
        <v/>
      </c>
      <c r="K203" s="25" t="str">
        <f t="shared" si="5"/>
        <v/>
      </c>
      <c r="L203" s="22"/>
      <c r="M203" s="23"/>
      <c r="N203" s="20"/>
      <c r="O203" s="16"/>
    </row>
    <row r="204" spans="1:15" s="6" customFormat="1" ht="14.1" customHeight="1">
      <c r="A204" s="146"/>
      <c r="B204" s="147"/>
      <c r="C204" s="43"/>
      <c r="D204" s="43"/>
      <c r="E204" s="43"/>
      <c r="F204" s="22"/>
      <c r="G204" s="43"/>
      <c r="H204" s="43"/>
      <c r="I204" s="23"/>
      <c r="J204" s="25" t="str">
        <f t="shared" si="4"/>
        <v/>
      </c>
      <c r="K204" s="25" t="str">
        <f t="shared" si="5"/>
        <v/>
      </c>
      <c r="L204" s="22"/>
      <c r="M204" s="23"/>
      <c r="N204" s="20"/>
      <c r="O204" s="16"/>
    </row>
    <row r="205" spans="1:15" s="6" customFormat="1" ht="14.1" customHeight="1">
      <c r="A205" s="146"/>
      <c r="B205" s="147"/>
      <c r="C205" s="43"/>
      <c r="D205" s="43"/>
      <c r="E205" s="43"/>
      <c r="F205" s="22"/>
      <c r="G205" s="43"/>
      <c r="H205" s="43"/>
      <c r="I205" s="23"/>
      <c r="J205" s="25" t="str">
        <f t="shared" ref="J205:J268" si="6">IF(D205&lt;&gt;"",D205,"")</f>
        <v/>
      </c>
      <c r="K205" s="25" t="str">
        <f t="shared" ref="K205:K268" si="7">IF(D205="Passed",E205,IF(D205="Warning",E205,""))</f>
        <v/>
      </c>
      <c r="L205" s="22"/>
      <c r="M205" s="23"/>
      <c r="N205" s="20"/>
      <c r="O205" s="16"/>
    </row>
    <row r="206" spans="1:15" s="6" customFormat="1" ht="14.1" customHeight="1">
      <c r="A206" s="146"/>
      <c r="B206" s="147"/>
      <c r="C206" s="43"/>
      <c r="D206" s="43"/>
      <c r="E206" s="43"/>
      <c r="F206" s="22"/>
      <c r="G206" s="43"/>
      <c r="H206" s="43"/>
      <c r="I206" s="23"/>
      <c r="J206" s="25" t="str">
        <f t="shared" si="6"/>
        <v/>
      </c>
      <c r="K206" s="25" t="str">
        <f t="shared" si="7"/>
        <v/>
      </c>
      <c r="L206" s="22"/>
      <c r="M206" s="23"/>
      <c r="N206" s="20"/>
      <c r="O206" s="16"/>
    </row>
    <row r="207" spans="1:15" s="6" customFormat="1" ht="14.1" customHeight="1">
      <c r="A207" s="146"/>
      <c r="B207" s="147"/>
      <c r="C207" s="43"/>
      <c r="D207" s="43"/>
      <c r="E207" s="43"/>
      <c r="F207" s="22"/>
      <c r="G207" s="43"/>
      <c r="H207" s="43"/>
      <c r="I207" s="23"/>
      <c r="J207" s="25" t="str">
        <f t="shared" si="6"/>
        <v/>
      </c>
      <c r="K207" s="25" t="str">
        <f t="shared" si="7"/>
        <v/>
      </c>
      <c r="L207" s="22"/>
      <c r="M207" s="23"/>
      <c r="N207" s="20"/>
      <c r="O207" s="16"/>
    </row>
    <row r="208" spans="1:15" s="6" customFormat="1" ht="14.1" customHeight="1">
      <c r="A208" s="146"/>
      <c r="B208" s="147"/>
      <c r="C208" s="43"/>
      <c r="D208" s="43"/>
      <c r="E208" s="43"/>
      <c r="F208" s="22"/>
      <c r="G208" s="43"/>
      <c r="H208" s="43"/>
      <c r="I208" s="23"/>
      <c r="J208" s="25" t="str">
        <f t="shared" si="6"/>
        <v/>
      </c>
      <c r="K208" s="25" t="str">
        <f t="shared" si="7"/>
        <v/>
      </c>
      <c r="L208" s="22"/>
      <c r="M208" s="23"/>
      <c r="N208" s="20"/>
      <c r="O208" s="16"/>
    </row>
    <row r="209" spans="1:15" s="6" customFormat="1" ht="14.1" customHeight="1">
      <c r="A209" s="146"/>
      <c r="B209" s="147"/>
      <c r="C209" s="43"/>
      <c r="D209" s="43"/>
      <c r="E209" s="43"/>
      <c r="F209" s="22"/>
      <c r="G209" s="43"/>
      <c r="H209" s="43"/>
      <c r="I209" s="23"/>
      <c r="J209" s="25" t="str">
        <f t="shared" si="6"/>
        <v/>
      </c>
      <c r="K209" s="25" t="str">
        <f t="shared" si="7"/>
        <v/>
      </c>
      <c r="L209" s="22"/>
      <c r="M209" s="23"/>
      <c r="N209" s="20"/>
      <c r="O209" s="16"/>
    </row>
    <row r="210" spans="1:15" s="6" customFormat="1" ht="14.1" customHeight="1">
      <c r="A210" s="146"/>
      <c r="B210" s="147"/>
      <c r="C210" s="43"/>
      <c r="D210" s="43"/>
      <c r="E210" s="43"/>
      <c r="F210" s="22"/>
      <c r="G210" s="43"/>
      <c r="H210" s="43"/>
      <c r="I210" s="23"/>
      <c r="J210" s="25" t="str">
        <f t="shared" si="6"/>
        <v/>
      </c>
      <c r="K210" s="25" t="str">
        <f t="shared" si="7"/>
        <v/>
      </c>
      <c r="L210" s="22"/>
      <c r="M210" s="23"/>
      <c r="N210" s="20"/>
      <c r="O210" s="16"/>
    </row>
    <row r="211" spans="1:15" s="6" customFormat="1" ht="14.1" customHeight="1">
      <c r="A211" s="146"/>
      <c r="B211" s="147"/>
      <c r="C211" s="43"/>
      <c r="D211" s="43"/>
      <c r="E211" s="43"/>
      <c r="F211" s="22"/>
      <c r="G211" s="43"/>
      <c r="H211" s="43"/>
      <c r="I211" s="23"/>
      <c r="J211" s="25" t="str">
        <f t="shared" si="6"/>
        <v/>
      </c>
      <c r="K211" s="25" t="str">
        <f t="shared" si="7"/>
        <v/>
      </c>
      <c r="L211" s="22"/>
      <c r="M211" s="23"/>
      <c r="N211" s="20"/>
      <c r="O211" s="16"/>
    </row>
    <row r="212" spans="1:15" s="6" customFormat="1" ht="14.1" customHeight="1">
      <c r="A212" s="146"/>
      <c r="B212" s="147"/>
      <c r="C212" s="43"/>
      <c r="D212" s="43"/>
      <c r="E212" s="43"/>
      <c r="F212" s="22"/>
      <c r="G212" s="43"/>
      <c r="H212" s="43"/>
      <c r="I212" s="23"/>
      <c r="J212" s="25" t="str">
        <f t="shared" si="6"/>
        <v/>
      </c>
      <c r="K212" s="25" t="str">
        <f t="shared" si="7"/>
        <v/>
      </c>
      <c r="L212" s="22"/>
      <c r="M212" s="23"/>
      <c r="N212" s="20"/>
      <c r="O212" s="16"/>
    </row>
    <row r="213" spans="1:15" s="6" customFormat="1" ht="14.1" customHeight="1">
      <c r="A213" s="146"/>
      <c r="B213" s="147"/>
      <c r="C213" s="43"/>
      <c r="D213" s="43"/>
      <c r="E213" s="43"/>
      <c r="F213" s="22"/>
      <c r="G213" s="43"/>
      <c r="H213" s="43"/>
      <c r="I213" s="23"/>
      <c r="J213" s="25" t="str">
        <f t="shared" si="6"/>
        <v/>
      </c>
      <c r="K213" s="25" t="str">
        <f t="shared" si="7"/>
        <v/>
      </c>
      <c r="L213" s="22"/>
      <c r="M213" s="23"/>
      <c r="N213" s="20"/>
      <c r="O213" s="16"/>
    </row>
    <row r="214" spans="1:15" s="6" customFormat="1" ht="14.1" customHeight="1">
      <c r="A214" s="146"/>
      <c r="B214" s="147"/>
      <c r="C214" s="43"/>
      <c r="D214" s="43"/>
      <c r="E214" s="43"/>
      <c r="F214" s="22"/>
      <c r="G214" s="43"/>
      <c r="H214" s="43"/>
      <c r="I214" s="23"/>
      <c r="J214" s="25" t="str">
        <f t="shared" si="6"/>
        <v/>
      </c>
      <c r="K214" s="25" t="str">
        <f t="shared" si="7"/>
        <v/>
      </c>
      <c r="L214" s="22"/>
      <c r="M214" s="23"/>
      <c r="N214" s="20"/>
      <c r="O214" s="16"/>
    </row>
    <row r="215" spans="1:15" s="6" customFormat="1" ht="14.1" customHeight="1">
      <c r="A215" s="146"/>
      <c r="B215" s="147"/>
      <c r="C215" s="43"/>
      <c r="D215" s="43"/>
      <c r="E215" s="43"/>
      <c r="F215" s="22"/>
      <c r="G215" s="43"/>
      <c r="H215" s="43"/>
      <c r="I215" s="23"/>
      <c r="J215" s="25" t="str">
        <f t="shared" si="6"/>
        <v/>
      </c>
      <c r="K215" s="25" t="str">
        <f t="shared" si="7"/>
        <v/>
      </c>
      <c r="L215" s="22"/>
      <c r="M215" s="23"/>
      <c r="N215" s="20"/>
      <c r="O215" s="16"/>
    </row>
    <row r="216" spans="1:15" s="6" customFormat="1" ht="14.1" customHeight="1">
      <c r="A216" s="146"/>
      <c r="B216" s="147"/>
      <c r="C216" s="43"/>
      <c r="D216" s="43"/>
      <c r="E216" s="43"/>
      <c r="F216" s="22"/>
      <c r="G216" s="43"/>
      <c r="H216" s="43"/>
      <c r="I216" s="23"/>
      <c r="J216" s="25" t="str">
        <f t="shared" si="6"/>
        <v/>
      </c>
      <c r="K216" s="25" t="str">
        <f t="shared" si="7"/>
        <v/>
      </c>
      <c r="L216" s="22"/>
      <c r="M216" s="23"/>
      <c r="N216" s="20"/>
      <c r="O216" s="16"/>
    </row>
    <row r="217" spans="1:15" s="6" customFormat="1" ht="14.1" customHeight="1">
      <c r="A217" s="146"/>
      <c r="B217" s="147"/>
      <c r="C217" s="43"/>
      <c r="D217" s="43"/>
      <c r="E217" s="43"/>
      <c r="F217" s="22"/>
      <c r="G217" s="43"/>
      <c r="H217" s="43"/>
      <c r="I217" s="23"/>
      <c r="J217" s="25" t="str">
        <f t="shared" si="6"/>
        <v/>
      </c>
      <c r="K217" s="25" t="str">
        <f t="shared" si="7"/>
        <v/>
      </c>
      <c r="L217" s="22"/>
      <c r="M217" s="23"/>
      <c r="N217" s="20"/>
      <c r="O217" s="16"/>
    </row>
    <row r="218" spans="1:15" s="6" customFormat="1" ht="14.1" customHeight="1">
      <c r="A218" s="146"/>
      <c r="B218" s="147"/>
      <c r="C218" s="43"/>
      <c r="D218" s="43"/>
      <c r="E218" s="43"/>
      <c r="F218" s="22"/>
      <c r="G218" s="43"/>
      <c r="H218" s="43"/>
      <c r="I218" s="23"/>
      <c r="J218" s="25" t="str">
        <f t="shared" si="6"/>
        <v/>
      </c>
      <c r="K218" s="25" t="str">
        <f t="shared" si="7"/>
        <v/>
      </c>
      <c r="L218" s="22"/>
      <c r="M218" s="23"/>
      <c r="N218" s="20"/>
      <c r="O218" s="16"/>
    </row>
    <row r="219" spans="1:15" s="6" customFormat="1" ht="14.1" customHeight="1">
      <c r="A219" s="146"/>
      <c r="B219" s="147"/>
      <c r="C219" s="43"/>
      <c r="D219" s="43"/>
      <c r="E219" s="43"/>
      <c r="F219" s="22"/>
      <c r="G219" s="43"/>
      <c r="H219" s="43"/>
      <c r="I219" s="23"/>
      <c r="J219" s="25" t="str">
        <f t="shared" si="6"/>
        <v/>
      </c>
      <c r="K219" s="25" t="str">
        <f t="shared" si="7"/>
        <v/>
      </c>
      <c r="L219" s="22"/>
      <c r="M219" s="23"/>
      <c r="N219" s="20"/>
      <c r="O219" s="16"/>
    </row>
    <row r="220" spans="1:15" s="6" customFormat="1" ht="14.1" customHeight="1">
      <c r="A220" s="146"/>
      <c r="B220" s="147"/>
      <c r="C220" s="43"/>
      <c r="D220" s="43"/>
      <c r="E220" s="43"/>
      <c r="F220" s="22"/>
      <c r="G220" s="43"/>
      <c r="H220" s="43"/>
      <c r="I220" s="23"/>
      <c r="J220" s="25" t="str">
        <f t="shared" si="6"/>
        <v/>
      </c>
      <c r="K220" s="25" t="str">
        <f t="shared" si="7"/>
        <v/>
      </c>
      <c r="L220" s="22"/>
      <c r="M220" s="23"/>
      <c r="N220" s="20"/>
      <c r="O220" s="16"/>
    </row>
    <row r="221" spans="1:15" s="6" customFormat="1" ht="14.1" customHeight="1">
      <c r="A221" s="146"/>
      <c r="B221" s="147"/>
      <c r="C221" s="43"/>
      <c r="D221" s="43"/>
      <c r="E221" s="43"/>
      <c r="F221" s="22"/>
      <c r="G221" s="43"/>
      <c r="H221" s="43"/>
      <c r="I221" s="23"/>
      <c r="J221" s="25" t="str">
        <f t="shared" si="6"/>
        <v/>
      </c>
      <c r="K221" s="25" t="str">
        <f t="shared" si="7"/>
        <v/>
      </c>
      <c r="L221" s="22"/>
      <c r="M221" s="23"/>
      <c r="N221" s="20"/>
      <c r="O221" s="16"/>
    </row>
    <row r="222" spans="1:15" s="6" customFormat="1" ht="14.1" customHeight="1">
      <c r="A222" s="146"/>
      <c r="B222" s="147"/>
      <c r="C222" s="43"/>
      <c r="D222" s="43"/>
      <c r="E222" s="43"/>
      <c r="F222" s="22"/>
      <c r="G222" s="43"/>
      <c r="H222" s="43"/>
      <c r="I222" s="23"/>
      <c r="J222" s="25" t="str">
        <f t="shared" si="6"/>
        <v/>
      </c>
      <c r="K222" s="25" t="str">
        <f t="shared" si="7"/>
        <v/>
      </c>
      <c r="L222" s="22"/>
      <c r="M222" s="23"/>
      <c r="N222" s="20"/>
      <c r="O222" s="16"/>
    </row>
    <row r="223" spans="1:15" s="6" customFormat="1" ht="14.1" customHeight="1">
      <c r="A223" s="146"/>
      <c r="B223" s="147"/>
      <c r="C223" s="43"/>
      <c r="D223" s="43"/>
      <c r="E223" s="43"/>
      <c r="F223" s="22"/>
      <c r="G223" s="43"/>
      <c r="H223" s="43"/>
      <c r="I223" s="23"/>
      <c r="J223" s="25" t="str">
        <f t="shared" si="6"/>
        <v/>
      </c>
      <c r="K223" s="25" t="str">
        <f t="shared" si="7"/>
        <v/>
      </c>
      <c r="L223" s="22"/>
      <c r="M223" s="23"/>
      <c r="N223" s="20"/>
      <c r="O223" s="16"/>
    </row>
    <row r="224" spans="1:15" s="6" customFormat="1" ht="14.1" customHeight="1">
      <c r="A224" s="146"/>
      <c r="B224" s="147"/>
      <c r="C224" s="43"/>
      <c r="D224" s="43"/>
      <c r="E224" s="43"/>
      <c r="F224" s="22"/>
      <c r="G224" s="43"/>
      <c r="H224" s="43"/>
      <c r="I224" s="23"/>
      <c r="J224" s="25" t="str">
        <f t="shared" si="6"/>
        <v/>
      </c>
      <c r="K224" s="25" t="str">
        <f t="shared" si="7"/>
        <v/>
      </c>
      <c r="L224" s="22"/>
      <c r="M224" s="23"/>
      <c r="N224" s="20"/>
      <c r="O224" s="16"/>
    </row>
    <row r="225" spans="1:15" s="6" customFormat="1" ht="14.1" customHeight="1">
      <c r="A225" s="146"/>
      <c r="B225" s="147"/>
      <c r="C225" s="43"/>
      <c r="D225" s="43"/>
      <c r="E225" s="43"/>
      <c r="F225" s="22"/>
      <c r="G225" s="43"/>
      <c r="H225" s="43"/>
      <c r="I225" s="23"/>
      <c r="J225" s="25" t="str">
        <f t="shared" si="6"/>
        <v/>
      </c>
      <c r="K225" s="25" t="str">
        <f t="shared" si="7"/>
        <v/>
      </c>
      <c r="L225" s="22"/>
      <c r="M225" s="23"/>
      <c r="N225" s="20"/>
      <c r="O225" s="16"/>
    </row>
    <row r="226" spans="1:15" s="6" customFormat="1" ht="14.1" customHeight="1">
      <c r="A226" s="146"/>
      <c r="B226" s="147"/>
      <c r="C226" s="43"/>
      <c r="D226" s="43"/>
      <c r="E226" s="43"/>
      <c r="F226" s="22"/>
      <c r="G226" s="43"/>
      <c r="H226" s="43"/>
      <c r="I226" s="23"/>
      <c r="J226" s="25" t="str">
        <f t="shared" si="6"/>
        <v/>
      </c>
      <c r="K226" s="25" t="str">
        <f t="shared" si="7"/>
        <v/>
      </c>
      <c r="L226" s="22"/>
      <c r="M226" s="23"/>
      <c r="N226" s="20"/>
      <c r="O226" s="16"/>
    </row>
    <row r="227" spans="1:15" s="6" customFormat="1" ht="14.1" customHeight="1">
      <c r="A227" s="146"/>
      <c r="B227" s="147"/>
      <c r="C227" s="43"/>
      <c r="D227" s="43"/>
      <c r="E227" s="43"/>
      <c r="F227" s="22"/>
      <c r="G227" s="43"/>
      <c r="H227" s="43"/>
      <c r="I227" s="23"/>
      <c r="J227" s="25" t="str">
        <f t="shared" si="6"/>
        <v/>
      </c>
      <c r="K227" s="25" t="str">
        <f t="shared" si="7"/>
        <v/>
      </c>
      <c r="L227" s="22"/>
      <c r="M227" s="23"/>
      <c r="N227" s="20"/>
      <c r="O227" s="16"/>
    </row>
    <row r="228" spans="1:15" s="6" customFormat="1" ht="14.1" customHeight="1">
      <c r="A228" s="146"/>
      <c r="B228" s="147"/>
      <c r="C228" s="43"/>
      <c r="D228" s="43"/>
      <c r="E228" s="43"/>
      <c r="F228" s="22"/>
      <c r="G228" s="43"/>
      <c r="H228" s="43"/>
      <c r="I228" s="23"/>
      <c r="J228" s="25" t="str">
        <f t="shared" si="6"/>
        <v/>
      </c>
      <c r="K228" s="25" t="str">
        <f t="shared" si="7"/>
        <v/>
      </c>
      <c r="L228" s="22"/>
      <c r="M228" s="23"/>
      <c r="N228" s="20"/>
      <c r="O228" s="16"/>
    </row>
    <row r="229" spans="1:15" s="6" customFormat="1" ht="14.1" customHeight="1">
      <c r="A229" s="146"/>
      <c r="B229" s="147"/>
      <c r="C229" s="43"/>
      <c r="D229" s="43"/>
      <c r="E229" s="43"/>
      <c r="F229" s="22"/>
      <c r="G229" s="43"/>
      <c r="H229" s="43"/>
      <c r="I229" s="23"/>
      <c r="J229" s="25" t="str">
        <f t="shared" si="6"/>
        <v/>
      </c>
      <c r="K229" s="25" t="str">
        <f t="shared" si="7"/>
        <v/>
      </c>
      <c r="L229" s="22"/>
      <c r="M229" s="23"/>
      <c r="N229" s="20"/>
      <c r="O229" s="16"/>
    </row>
    <row r="230" spans="1:15" s="6" customFormat="1" ht="14.1" customHeight="1">
      <c r="A230" s="146"/>
      <c r="B230" s="147"/>
      <c r="C230" s="43"/>
      <c r="D230" s="43"/>
      <c r="E230" s="43"/>
      <c r="F230" s="22"/>
      <c r="G230" s="43"/>
      <c r="H230" s="43"/>
      <c r="I230" s="23"/>
      <c r="J230" s="25" t="str">
        <f t="shared" si="6"/>
        <v/>
      </c>
      <c r="K230" s="25" t="str">
        <f t="shared" si="7"/>
        <v/>
      </c>
      <c r="L230" s="22"/>
      <c r="M230" s="23"/>
      <c r="N230" s="20"/>
      <c r="O230" s="16"/>
    </row>
    <row r="231" spans="1:15" s="6" customFormat="1" ht="14.1" customHeight="1">
      <c r="A231" s="146"/>
      <c r="B231" s="147"/>
      <c r="C231" s="43"/>
      <c r="D231" s="43"/>
      <c r="E231" s="43"/>
      <c r="F231" s="22"/>
      <c r="G231" s="43"/>
      <c r="H231" s="43"/>
      <c r="I231" s="23"/>
      <c r="J231" s="25" t="str">
        <f t="shared" si="6"/>
        <v/>
      </c>
      <c r="K231" s="25" t="str">
        <f t="shared" si="7"/>
        <v/>
      </c>
      <c r="L231" s="22"/>
      <c r="M231" s="23"/>
      <c r="N231" s="20"/>
      <c r="O231" s="16"/>
    </row>
    <row r="232" spans="1:15" s="6" customFormat="1" ht="14.1" customHeight="1">
      <c r="A232" s="146"/>
      <c r="B232" s="147"/>
      <c r="C232" s="43"/>
      <c r="D232" s="43"/>
      <c r="E232" s="43"/>
      <c r="F232" s="22"/>
      <c r="G232" s="43"/>
      <c r="H232" s="43"/>
      <c r="I232" s="23"/>
      <c r="J232" s="25" t="str">
        <f t="shared" si="6"/>
        <v/>
      </c>
      <c r="K232" s="25" t="str">
        <f t="shared" si="7"/>
        <v/>
      </c>
      <c r="L232" s="22"/>
      <c r="M232" s="23"/>
      <c r="N232" s="20"/>
      <c r="O232" s="16"/>
    </row>
    <row r="233" spans="1:15" s="6" customFormat="1" ht="14.1" customHeight="1">
      <c r="A233" s="146"/>
      <c r="B233" s="147"/>
      <c r="C233" s="43"/>
      <c r="D233" s="43"/>
      <c r="E233" s="43"/>
      <c r="F233" s="22"/>
      <c r="G233" s="43"/>
      <c r="H233" s="43"/>
      <c r="I233" s="23"/>
      <c r="J233" s="25" t="str">
        <f t="shared" si="6"/>
        <v/>
      </c>
      <c r="K233" s="25" t="str">
        <f t="shared" si="7"/>
        <v/>
      </c>
      <c r="L233" s="22"/>
      <c r="M233" s="23"/>
      <c r="N233" s="20"/>
      <c r="O233" s="16"/>
    </row>
    <row r="234" spans="1:15" s="6" customFormat="1" ht="14.1" customHeight="1">
      <c r="A234" s="146"/>
      <c r="B234" s="147"/>
      <c r="C234" s="43"/>
      <c r="D234" s="43"/>
      <c r="E234" s="43"/>
      <c r="F234" s="22"/>
      <c r="G234" s="43"/>
      <c r="H234" s="43"/>
      <c r="I234" s="23"/>
      <c r="J234" s="25" t="str">
        <f t="shared" si="6"/>
        <v/>
      </c>
      <c r="K234" s="25" t="str">
        <f t="shared" si="7"/>
        <v/>
      </c>
      <c r="L234" s="22"/>
      <c r="M234" s="23"/>
      <c r="N234" s="20"/>
      <c r="O234" s="16"/>
    </row>
    <row r="235" spans="1:15" s="6" customFormat="1" ht="14.1" customHeight="1">
      <c r="A235" s="146"/>
      <c r="B235" s="147"/>
      <c r="C235" s="43"/>
      <c r="D235" s="43"/>
      <c r="E235" s="43"/>
      <c r="F235" s="22"/>
      <c r="G235" s="43"/>
      <c r="H235" s="43"/>
      <c r="I235" s="23"/>
      <c r="J235" s="25" t="str">
        <f t="shared" si="6"/>
        <v/>
      </c>
      <c r="K235" s="25" t="str">
        <f t="shared" si="7"/>
        <v/>
      </c>
      <c r="L235" s="22"/>
      <c r="M235" s="23"/>
      <c r="N235" s="20"/>
      <c r="O235" s="16"/>
    </row>
    <row r="236" spans="1:15" s="6" customFormat="1" ht="14.1" customHeight="1">
      <c r="A236" s="146"/>
      <c r="B236" s="147"/>
      <c r="C236" s="43"/>
      <c r="D236" s="43"/>
      <c r="E236" s="43"/>
      <c r="F236" s="22"/>
      <c r="G236" s="43"/>
      <c r="H236" s="43"/>
      <c r="I236" s="23"/>
      <c r="J236" s="25" t="str">
        <f t="shared" si="6"/>
        <v/>
      </c>
      <c r="K236" s="25" t="str">
        <f t="shared" si="7"/>
        <v/>
      </c>
      <c r="L236" s="22"/>
      <c r="M236" s="23"/>
      <c r="N236" s="20"/>
      <c r="O236" s="16"/>
    </row>
    <row r="237" spans="1:15" s="6" customFormat="1" ht="14.1" customHeight="1">
      <c r="A237" s="146"/>
      <c r="B237" s="147"/>
      <c r="C237" s="43"/>
      <c r="D237" s="43"/>
      <c r="E237" s="43"/>
      <c r="F237" s="22"/>
      <c r="G237" s="43"/>
      <c r="H237" s="43"/>
      <c r="I237" s="23"/>
      <c r="J237" s="25" t="str">
        <f t="shared" si="6"/>
        <v/>
      </c>
      <c r="K237" s="25" t="str">
        <f t="shared" si="7"/>
        <v/>
      </c>
      <c r="L237" s="22"/>
      <c r="M237" s="23"/>
      <c r="N237" s="20"/>
      <c r="O237" s="16"/>
    </row>
    <row r="238" spans="1:15" s="6" customFormat="1" ht="14.1" customHeight="1">
      <c r="A238" s="146"/>
      <c r="B238" s="147"/>
      <c r="C238" s="43"/>
      <c r="D238" s="43"/>
      <c r="E238" s="43"/>
      <c r="F238" s="22"/>
      <c r="G238" s="43"/>
      <c r="H238" s="43"/>
      <c r="I238" s="23"/>
      <c r="J238" s="25" t="str">
        <f t="shared" si="6"/>
        <v/>
      </c>
      <c r="K238" s="25" t="str">
        <f t="shared" si="7"/>
        <v/>
      </c>
      <c r="L238" s="22"/>
      <c r="M238" s="23"/>
      <c r="N238" s="20"/>
      <c r="O238" s="16"/>
    </row>
    <row r="239" spans="1:15" s="6" customFormat="1" ht="14.1" customHeight="1">
      <c r="A239" s="146"/>
      <c r="B239" s="147"/>
      <c r="C239" s="43"/>
      <c r="D239" s="43"/>
      <c r="E239" s="43"/>
      <c r="F239" s="22"/>
      <c r="G239" s="43"/>
      <c r="H239" s="43"/>
      <c r="I239" s="23"/>
      <c r="J239" s="25" t="str">
        <f t="shared" si="6"/>
        <v/>
      </c>
      <c r="K239" s="25" t="str">
        <f t="shared" si="7"/>
        <v/>
      </c>
      <c r="L239" s="22"/>
      <c r="M239" s="23"/>
      <c r="N239" s="20"/>
      <c r="O239" s="16"/>
    </row>
    <row r="240" spans="1:15" s="6" customFormat="1" ht="14.1" customHeight="1">
      <c r="A240" s="146"/>
      <c r="B240" s="147"/>
      <c r="C240" s="43"/>
      <c r="D240" s="43"/>
      <c r="E240" s="43"/>
      <c r="F240" s="22"/>
      <c r="G240" s="43"/>
      <c r="H240" s="43"/>
      <c r="I240" s="23"/>
      <c r="J240" s="25" t="str">
        <f t="shared" si="6"/>
        <v/>
      </c>
      <c r="K240" s="25" t="str">
        <f t="shared" si="7"/>
        <v/>
      </c>
      <c r="L240" s="22"/>
      <c r="M240" s="23"/>
      <c r="N240" s="20"/>
      <c r="O240" s="16"/>
    </row>
    <row r="241" spans="1:15" s="6" customFormat="1" ht="14.1" customHeight="1">
      <c r="A241" s="146"/>
      <c r="B241" s="147"/>
      <c r="C241" s="43"/>
      <c r="D241" s="43"/>
      <c r="E241" s="43"/>
      <c r="F241" s="22"/>
      <c r="G241" s="43"/>
      <c r="H241" s="43"/>
      <c r="I241" s="23"/>
      <c r="J241" s="25" t="str">
        <f t="shared" si="6"/>
        <v/>
      </c>
      <c r="K241" s="25" t="str">
        <f t="shared" si="7"/>
        <v/>
      </c>
      <c r="L241" s="22"/>
      <c r="M241" s="23"/>
      <c r="N241" s="20"/>
      <c r="O241" s="16"/>
    </row>
    <row r="242" spans="1:15" s="6" customFormat="1" ht="14.1" customHeight="1">
      <c r="A242" s="146"/>
      <c r="B242" s="147"/>
      <c r="C242" s="43"/>
      <c r="D242" s="43"/>
      <c r="E242" s="43"/>
      <c r="F242" s="22"/>
      <c r="G242" s="43"/>
      <c r="H242" s="43"/>
      <c r="I242" s="23"/>
      <c r="J242" s="25" t="str">
        <f t="shared" si="6"/>
        <v/>
      </c>
      <c r="K242" s="25" t="str">
        <f t="shared" si="7"/>
        <v/>
      </c>
      <c r="L242" s="22"/>
      <c r="M242" s="23"/>
      <c r="N242" s="20"/>
      <c r="O242" s="16"/>
    </row>
    <row r="243" spans="1:15" s="6" customFormat="1" ht="14.1" customHeight="1">
      <c r="A243" s="146"/>
      <c r="B243" s="147"/>
      <c r="C243" s="43"/>
      <c r="D243" s="43"/>
      <c r="E243" s="43"/>
      <c r="F243" s="22"/>
      <c r="G243" s="43"/>
      <c r="H243" s="43"/>
      <c r="I243" s="23"/>
      <c r="J243" s="25" t="str">
        <f t="shared" si="6"/>
        <v/>
      </c>
      <c r="K243" s="25" t="str">
        <f t="shared" si="7"/>
        <v/>
      </c>
      <c r="L243" s="22"/>
      <c r="M243" s="23"/>
      <c r="N243" s="20"/>
      <c r="O243" s="16"/>
    </row>
    <row r="244" spans="1:15" s="6" customFormat="1" ht="14.1" customHeight="1">
      <c r="A244" s="146"/>
      <c r="B244" s="147"/>
      <c r="C244" s="43"/>
      <c r="D244" s="43"/>
      <c r="E244" s="43"/>
      <c r="F244" s="22"/>
      <c r="G244" s="43"/>
      <c r="H244" s="43"/>
      <c r="I244" s="23"/>
      <c r="J244" s="25" t="str">
        <f t="shared" si="6"/>
        <v/>
      </c>
      <c r="K244" s="25" t="str">
        <f t="shared" si="7"/>
        <v/>
      </c>
      <c r="L244" s="22"/>
      <c r="M244" s="23"/>
      <c r="N244" s="20"/>
      <c r="O244" s="16"/>
    </row>
    <row r="245" spans="1:15" s="6" customFormat="1" ht="14.1" customHeight="1">
      <c r="A245" s="146"/>
      <c r="B245" s="147"/>
      <c r="C245" s="43"/>
      <c r="D245" s="43"/>
      <c r="E245" s="43"/>
      <c r="F245" s="22"/>
      <c r="G245" s="43"/>
      <c r="H245" s="43"/>
      <c r="I245" s="23"/>
      <c r="J245" s="25" t="str">
        <f t="shared" si="6"/>
        <v/>
      </c>
      <c r="K245" s="25" t="str">
        <f t="shared" si="7"/>
        <v/>
      </c>
      <c r="L245" s="22"/>
      <c r="M245" s="23"/>
      <c r="N245" s="20"/>
      <c r="O245" s="16"/>
    </row>
    <row r="246" spans="1:15" s="6" customFormat="1" ht="14.1" customHeight="1">
      <c r="A246" s="146"/>
      <c r="B246" s="147"/>
      <c r="C246" s="43"/>
      <c r="D246" s="43"/>
      <c r="E246" s="43"/>
      <c r="F246" s="22"/>
      <c r="G246" s="43"/>
      <c r="H246" s="43"/>
      <c r="I246" s="23"/>
      <c r="J246" s="25" t="str">
        <f t="shared" si="6"/>
        <v/>
      </c>
      <c r="K246" s="25" t="str">
        <f t="shared" si="7"/>
        <v/>
      </c>
      <c r="L246" s="22"/>
      <c r="M246" s="23"/>
      <c r="N246" s="20"/>
      <c r="O246" s="16"/>
    </row>
    <row r="247" spans="1:15" s="6" customFormat="1" ht="14.1" customHeight="1">
      <c r="A247" s="146"/>
      <c r="B247" s="147"/>
      <c r="C247" s="43"/>
      <c r="D247" s="43"/>
      <c r="E247" s="43"/>
      <c r="F247" s="22"/>
      <c r="G247" s="43"/>
      <c r="H247" s="43"/>
      <c r="I247" s="23"/>
      <c r="J247" s="25" t="str">
        <f t="shared" si="6"/>
        <v/>
      </c>
      <c r="K247" s="25" t="str">
        <f t="shared" si="7"/>
        <v/>
      </c>
      <c r="L247" s="22"/>
      <c r="M247" s="23"/>
      <c r="N247" s="20"/>
      <c r="O247" s="16"/>
    </row>
    <row r="248" spans="1:15" s="6" customFormat="1" ht="14.1" customHeight="1">
      <c r="A248" s="146"/>
      <c r="B248" s="147"/>
      <c r="C248" s="43"/>
      <c r="D248" s="43"/>
      <c r="E248" s="43"/>
      <c r="F248" s="22"/>
      <c r="G248" s="43"/>
      <c r="H248" s="43"/>
      <c r="I248" s="23"/>
      <c r="J248" s="25" t="str">
        <f t="shared" si="6"/>
        <v/>
      </c>
      <c r="K248" s="25" t="str">
        <f t="shared" si="7"/>
        <v/>
      </c>
      <c r="L248" s="22"/>
      <c r="M248" s="23"/>
      <c r="N248" s="20"/>
      <c r="O248" s="16"/>
    </row>
    <row r="249" spans="1:15" s="6" customFormat="1" ht="14.1" customHeight="1">
      <c r="A249" s="146"/>
      <c r="B249" s="147"/>
      <c r="C249" s="43"/>
      <c r="D249" s="43"/>
      <c r="E249" s="43"/>
      <c r="F249" s="22"/>
      <c r="G249" s="43"/>
      <c r="H249" s="43"/>
      <c r="I249" s="23"/>
      <c r="J249" s="25" t="str">
        <f t="shared" si="6"/>
        <v/>
      </c>
      <c r="K249" s="25" t="str">
        <f t="shared" si="7"/>
        <v/>
      </c>
      <c r="L249" s="22"/>
      <c r="M249" s="23"/>
      <c r="N249" s="20"/>
      <c r="O249" s="16"/>
    </row>
    <row r="250" spans="1:15" s="6" customFormat="1" ht="14.1" customHeight="1">
      <c r="A250" s="146"/>
      <c r="B250" s="147"/>
      <c r="C250" s="43"/>
      <c r="D250" s="43"/>
      <c r="E250" s="43"/>
      <c r="F250" s="22"/>
      <c r="G250" s="43"/>
      <c r="H250" s="43"/>
      <c r="I250" s="23"/>
      <c r="J250" s="25" t="str">
        <f t="shared" si="6"/>
        <v/>
      </c>
      <c r="K250" s="25" t="str">
        <f t="shared" si="7"/>
        <v/>
      </c>
      <c r="L250" s="22"/>
      <c r="M250" s="23"/>
      <c r="N250" s="20"/>
      <c r="O250" s="16"/>
    </row>
    <row r="251" spans="1:15" s="6" customFormat="1" ht="14.1" customHeight="1">
      <c r="A251" s="146"/>
      <c r="B251" s="147"/>
      <c r="C251" s="43"/>
      <c r="D251" s="43"/>
      <c r="E251" s="43"/>
      <c r="F251" s="22"/>
      <c r="G251" s="43"/>
      <c r="H251" s="43"/>
      <c r="I251" s="23"/>
      <c r="J251" s="25" t="str">
        <f t="shared" si="6"/>
        <v/>
      </c>
      <c r="K251" s="25" t="str">
        <f t="shared" si="7"/>
        <v/>
      </c>
      <c r="L251" s="22"/>
      <c r="M251" s="23"/>
      <c r="N251" s="20"/>
      <c r="O251" s="16"/>
    </row>
    <row r="252" spans="1:15" s="6" customFormat="1" ht="14.1" customHeight="1">
      <c r="A252" s="146"/>
      <c r="B252" s="147"/>
      <c r="C252" s="43"/>
      <c r="D252" s="43"/>
      <c r="E252" s="43"/>
      <c r="F252" s="22"/>
      <c r="G252" s="43"/>
      <c r="H252" s="43"/>
      <c r="I252" s="23"/>
      <c r="J252" s="25" t="str">
        <f t="shared" si="6"/>
        <v/>
      </c>
      <c r="K252" s="25" t="str">
        <f t="shared" si="7"/>
        <v/>
      </c>
      <c r="L252" s="22"/>
      <c r="M252" s="23"/>
      <c r="N252" s="20"/>
      <c r="O252" s="16"/>
    </row>
    <row r="253" spans="1:15" s="6" customFormat="1" ht="14.1" customHeight="1">
      <c r="A253" s="146"/>
      <c r="B253" s="147"/>
      <c r="C253" s="43"/>
      <c r="D253" s="43"/>
      <c r="E253" s="43"/>
      <c r="F253" s="22"/>
      <c r="G253" s="43"/>
      <c r="H253" s="43"/>
      <c r="I253" s="23"/>
      <c r="J253" s="25" t="str">
        <f t="shared" si="6"/>
        <v/>
      </c>
      <c r="K253" s="25" t="str">
        <f t="shared" si="7"/>
        <v/>
      </c>
      <c r="L253" s="22"/>
      <c r="M253" s="23"/>
      <c r="N253" s="20"/>
      <c r="O253" s="16"/>
    </row>
    <row r="254" spans="1:15" s="6" customFormat="1" ht="14.1" customHeight="1">
      <c r="A254" s="146"/>
      <c r="B254" s="147"/>
      <c r="C254" s="43"/>
      <c r="D254" s="43"/>
      <c r="E254" s="43"/>
      <c r="F254" s="22"/>
      <c r="G254" s="43"/>
      <c r="H254" s="43"/>
      <c r="I254" s="23"/>
      <c r="J254" s="25" t="str">
        <f t="shared" si="6"/>
        <v/>
      </c>
      <c r="K254" s="25" t="str">
        <f t="shared" si="7"/>
        <v/>
      </c>
      <c r="L254" s="22"/>
      <c r="M254" s="23"/>
      <c r="N254" s="20"/>
      <c r="O254" s="16"/>
    </row>
    <row r="255" spans="1:15" s="6" customFormat="1" ht="14.1" customHeight="1">
      <c r="A255" s="146"/>
      <c r="B255" s="147"/>
      <c r="C255" s="43"/>
      <c r="D255" s="43"/>
      <c r="E255" s="43"/>
      <c r="F255" s="22"/>
      <c r="G255" s="43"/>
      <c r="H255" s="43"/>
      <c r="I255" s="23"/>
      <c r="J255" s="25" t="str">
        <f t="shared" si="6"/>
        <v/>
      </c>
      <c r="K255" s="25" t="str">
        <f t="shared" si="7"/>
        <v/>
      </c>
      <c r="L255" s="22"/>
      <c r="M255" s="23"/>
      <c r="N255" s="20"/>
      <c r="O255" s="16"/>
    </row>
    <row r="256" spans="1:15" s="6" customFormat="1" ht="14.1" customHeight="1">
      <c r="A256" s="146"/>
      <c r="B256" s="147"/>
      <c r="C256" s="43"/>
      <c r="D256" s="43"/>
      <c r="E256" s="43"/>
      <c r="F256" s="22"/>
      <c r="G256" s="43"/>
      <c r="H256" s="43"/>
      <c r="I256" s="23"/>
      <c r="J256" s="25" t="str">
        <f t="shared" si="6"/>
        <v/>
      </c>
      <c r="K256" s="25" t="str">
        <f t="shared" si="7"/>
        <v/>
      </c>
      <c r="L256" s="22"/>
      <c r="M256" s="23"/>
      <c r="N256" s="20"/>
      <c r="O256" s="16"/>
    </row>
    <row r="257" spans="1:15" s="6" customFormat="1" ht="14.1" customHeight="1">
      <c r="A257" s="146"/>
      <c r="B257" s="147"/>
      <c r="C257" s="43"/>
      <c r="D257" s="43"/>
      <c r="E257" s="43"/>
      <c r="F257" s="22"/>
      <c r="G257" s="43"/>
      <c r="H257" s="43"/>
      <c r="I257" s="23"/>
      <c r="J257" s="25" t="str">
        <f t="shared" si="6"/>
        <v/>
      </c>
      <c r="K257" s="25" t="str">
        <f t="shared" si="7"/>
        <v/>
      </c>
      <c r="L257" s="22"/>
      <c r="M257" s="23"/>
      <c r="N257" s="20"/>
      <c r="O257" s="16"/>
    </row>
    <row r="258" spans="1:15" s="6" customFormat="1" ht="14.1" customHeight="1">
      <c r="A258" s="146"/>
      <c r="B258" s="147"/>
      <c r="C258" s="43"/>
      <c r="D258" s="43"/>
      <c r="E258" s="43"/>
      <c r="F258" s="22"/>
      <c r="G258" s="43"/>
      <c r="H258" s="43"/>
      <c r="I258" s="23"/>
      <c r="J258" s="25" t="str">
        <f t="shared" si="6"/>
        <v/>
      </c>
      <c r="K258" s="25" t="str">
        <f t="shared" si="7"/>
        <v/>
      </c>
      <c r="L258" s="22"/>
      <c r="M258" s="23"/>
      <c r="N258" s="20"/>
      <c r="O258" s="16"/>
    </row>
    <row r="259" spans="1:15" s="6" customFormat="1" ht="14.1" customHeight="1">
      <c r="A259" s="146"/>
      <c r="B259" s="147"/>
      <c r="C259" s="43"/>
      <c r="D259" s="43"/>
      <c r="E259" s="43"/>
      <c r="F259" s="22"/>
      <c r="G259" s="43"/>
      <c r="H259" s="43"/>
      <c r="I259" s="23"/>
      <c r="J259" s="25" t="str">
        <f t="shared" si="6"/>
        <v/>
      </c>
      <c r="K259" s="25" t="str">
        <f t="shared" si="7"/>
        <v/>
      </c>
      <c r="L259" s="22"/>
      <c r="M259" s="23"/>
      <c r="N259" s="20"/>
      <c r="O259" s="16"/>
    </row>
    <row r="260" spans="1:15" s="6" customFormat="1" ht="14.1" customHeight="1">
      <c r="A260" s="146"/>
      <c r="B260" s="147"/>
      <c r="C260" s="43"/>
      <c r="D260" s="43"/>
      <c r="E260" s="43"/>
      <c r="F260" s="22"/>
      <c r="G260" s="43"/>
      <c r="H260" s="43"/>
      <c r="I260" s="23"/>
      <c r="J260" s="25" t="str">
        <f t="shared" si="6"/>
        <v/>
      </c>
      <c r="K260" s="25" t="str">
        <f t="shared" si="7"/>
        <v/>
      </c>
      <c r="L260" s="22"/>
      <c r="M260" s="23"/>
      <c r="N260" s="20"/>
      <c r="O260" s="16"/>
    </row>
    <row r="261" spans="1:15" s="6" customFormat="1" ht="14.1" customHeight="1">
      <c r="A261" s="146"/>
      <c r="B261" s="147"/>
      <c r="C261" s="43"/>
      <c r="D261" s="43"/>
      <c r="E261" s="43"/>
      <c r="F261" s="22"/>
      <c r="G261" s="43"/>
      <c r="H261" s="43"/>
      <c r="I261" s="23"/>
      <c r="J261" s="25" t="str">
        <f t="shared" si="6"/>
        <v/>
      </c>
      <c r="K261" s="25" t="str">
        <f t="shared" si="7"/>
        <v/>
      </c>
      <c r="L261" s="22"/>
      <c r="M261" s="23"/>
      <c r="N261" s="20"/>
      <c r="O261" s="16"/>
    </row>
    <row r="262" spans="1:15" s="6" customFormat="1" ht="14.1" customHeight="1">
      <c r="A262" s="146"/>
      <c r="B262" s="147"/>
      <c r="C262" s="43"/>
      <c r="D262" s="43"/>
      <c r="E262" s="43"/>
      <c r="F262" s="22"/>
      <c r="G262" s="43"/>
      <c r="H262" s="43"/>
      <c r="I262" s="23"/>
      <c r="J262" s="25" t="str">
        <f t="shared" si="6"/>
        <v/>
      </c>
      <c r="K262" s="25" t="str">
        <f t="shared" si="7"/>
        <v/>
      </c>
      <c r="L262" s="22"/>
      <c r="M262" s="23"/>
      <c r="N262" s="20"/>
      <c r="O262" s="16"/>
    </row>
    <row r="263" spans="1:15" s="6" customFormat="1" ht="14.1" customHeight="1">
      <c r="A263" s="146"/>
      <c r="B263" s="147"/>
      <c r="C263" s="43"/>
      <c r="D263" s="43"/>
      <c r="E263" s="43"/>
      <c r="F263" s="22"/>
      <c r="G263" s="43"/>
      <c r="H263" s="43"/>
      <c r="I263" s="23"/>
      <c r="J263" s="25" t="str">
        <f t="shared" si="6"/>
        <v/>
      </c>
      <c r="K263" s="25" t="str">
        <f t="shared" si="7"/>
        <v/>
      </c>
      <c r="L263" s="22"/>
      <c r="M263" s="23"/>
      <c r="N263" s="20"/>
      <c r="O263" s="16"/>
    </row>
    <row r="264" spans="1:15" s="6" customFormat="1" ht="14.1" customHeight="1">
      <c r="A264" s="146"/>
      <c r="B264" s="147"/>
      <c r="C264" s="43"/>
      <c r="D264" s="43"/>
      <c r="E264" s="43"/>
      <c r="F264" s="22"/>
      <c r="G264" s="43"/>
      <c r="H264" s="43"/>
      <c r="I264" s="23"/>
      <c r="J264" s="25" t="str">
        <f t="shared" si="6"/>
        <v/>
      </c>
      <c r="K264" s="25" t="str">
        <f t="shared" si="7"/>
        <v/>
      </c>
      <c r="L264" s="22"/>
      <c r="M264" s="23"/>
      <c r="N264" s="20"/>
      <c r="O264" s="16"/>
    </row>
    <row r="265" spans="1:15" s="6" customFormat="1" ht="14.1" customHeight="1">
      <c r="A265" s="146"/>
      <c r="B265" s="147"/>
      <c r="C265" s="43"/>
      <c r="D265" s="43"/>
      <c r="E265" s="43"/>
      <c r="F265" s="22"/>
      <c r="G265" s="43"/>
      <c r="H265" s="43"/>
      <c r="I265" s="23"/>
      <c r="J265" s="25" t="str">
        <f t="shared" si="6"/>
        <v/>
      </c>
      <c r="K265" s="25" t="str">
        <f t="shared" si="7"/>
        <v/>
      </c>
      <c r="L265" s="22"/>
      <c r="M265" s="23"/>
      <c r="N265" s="20"/>
      <c r="O265" s="16"/>
    </row>
    <row r="266" spans="1:15" s="6" customFormat="1" ht="14.1" customHeight="1">
      <c r="A266" s="146"/>
      <c r="B266" s="147"/>
      <c r="C266" s="43"/>
      <c r="D266" s="43"/>
      <c r="E266" s="43"/>
      <c r="F266" s="22"/>
      <c r="G266" s="43"/>
      <c r="H266" s="43"/>
      <c r="I266" s="23"/>
      <c r="J266" s="25" t="str">
        <f t="shared" si="6"/>
        <v/>
      </c>
      <c r="K266" s="25" t="str">
        <f t="shared" si="7"/>
        <v/>
      </c>
      <c r="L266" s="22"/>
      <c r="M266" s="23"/>
      <c r="N266" s="20"/>
      <c r="O266" s="16"/>
    </row>
    <row r="267" spans="1:15" s="6" customFormat="1" ht="14.1" customHeight="1">
      <c r="A267" s="146"/>
      <c r="B267" s="147"/>
      <c r="C267" s="43"/>
      <c r="D267" s="43"/>
      <c r="E267" s="43"/>
      <c r="F267" s="22"/>
      <c r="G267" s="43"/>
      <c r="H267" s="43"/>
      <c r="I267" s="23"/>
      <c r="J267" s="25" t="str">
        <f t="shared" si="6"/>
        <v/>
      </c>
      <c r="K267" s="25" t="str">
        <f t="shared" si="7"/>
        <v/>
      </c>
      <c r="L267" s="22"/>
      <c r="M267" s="23"/>
      <c r="N267" s="20"/>
      <c r="O267" s="16"/>
    </row>
    <row r="268" spans="1:15" s="6" customFormat="1" ht="14.1" customHeight="1">
      <c r="A268" s="146"/>
      <c r="B268" s="147"/>
      <c r="C268" s="43"/>
      <c r="D268" s="43"/>
      <c r="E268" s="43"/>
      <c r="F268" s="22"/>
      <c r="G268" s="43"/>
      <c r="H268" s="43"/>
      <c r="I268" s="23"/>
      <c r="J268" s="25" t="str">
        <f t="shared" si="6"/>
        <v/>
      </c>
      <c r="K268" s="25" t="str">
        <f t="shared" si="7"/>
        <v/>
      </c>
      <c r="L268" s="22"/>
      <c r="M268" s="23"/>
      <c r="N268" s="20"/>
      <c r="O268" s="16"/>
    </row>
    <row r="269" spans="1:15" s="6" customFormat="1" ht="14.1" customHeight="1">
      <c r="A269" s="146"/>
      <c r="B269" s="147"/>
      <c r="C269" s="43"/>
      <c r="D269" s="43"/>
      <c r="E269" s="43"/>
      <c r="F269" s="22"/>
      <c r="G269" s="43"/>
      <c r="H269" s="43"/>
      <c r="I269" s="23"/>
      <c r="J269" s="25" t="str">
        <f t="shared" ref="J269:J332" si="8">IF(D269&lt;&gt;"",D269,"")</f>
        <v/>
      </c>
      <c r="K269" s="25" t="str">
        <f t="shared" ref="K269:K332" si="9">IF(D269="Passed",E269,IF(D269="Warning",E269,""))</f>
        <v/>
      </c>
      <c r="L269" s="22"/>
      <c r="M269" s="23"/>
      <c r="N269" s="20"/>
      <c r="O269" s="16"/>
    </row>
    <row r="270" spans="1:15" s="6" customFormat="1" ht="14.1" customHeight="1">
      <c r="A270" s="146"/>
      <c r="B270" s="147"/>
      <c r="C270" s="43"/>
      <c r="D270" s="43"/>
      <c r="E270" s="43"/>
      <c r="F270" s="22"/>
      <c r="G270" s="43"/>
      <c r="H270" s="43"/>
      <c r="I270" s="23"/>
      <c r="J270" s="25" t="str">
        <f t="shared" si="8"/>
        <v/>
      </c>
      <c r="K270" s="25" t="str">
        <f t="shared" si="9"/>
        <v/>
      </c>
      <c r="L270" s="22"/>
      <c r="M270" s="23"/>
      <c r="N270" s="20"/>
      <c r="O270" s="16"/>
    </row>
    <row r="271" spans="1:15" s="6" customFormat="1" ht="14.1" customHeight="1">
      <c r="A271" s="146"/>
      <c r="B271" s="147"/>
      <c r="C271" s="43"/>
      <c r="D271" s="43"/>
      <c r="E271" s="43"/>
      <c r="F271" s="22"/>
      <c r="G271" s="43"/>
      <c r="H271" s="43"/>
      <c r="I271" s="23"/>
      <c r="J271" s="25" t="str">
        <f t="shared" si="8"/>
        <v/>
      </c>
      <c r="K271" s="25" t="str">
        <f t="shared" si="9"/>
        <v/>
      </c>
      <c r="L271" s="22"/>
      <c r="M271" s="23"/>
      <c r="N271" s="20"/>
      <c r="O271" s="16"/>
    </row>
    <row r="272" spans="1:15" s="6" customFormat="1" ht="14.1" customHeight="1">
      <c r="A272" s="146"/>
      <c r="B272" s="147"/>
      <c r="C272" s="43"/>
      <c r="D272" s="43"/>
      <c r="E272" s="43"/>
      <c r="F272" s="22"/>
      <c r="G272" s="43"/>
      <c r="H272" s="43"/>
      <c r="I272" s="23"/>
      <c r="J272" s="25" t="str">
        <f t="shared" si="8"/>
        <v/>
      </c>
      <c r="K272" s="25" t="str">
        <f t="shared" si="9"/>
        <v/>
      </c>
      <c r="L272" s="22"/>
      <c r="M272" s="23"/>
      <c r="N272" s="20"/>
      <c r="O272" s="16"/>
    </row>
    <row r="273" spans="1:15" s="6" customFormat="1" ht="14.1" customHeight="1">
      <c r="A273" s="146"/>
      <c r="B273" s="147"/>
      <c r="C273" s="43"/>
      <c r="D273" s="43"/>
      <c r="E273" s="43"/>
      <c r="F273" s="22"/>
      <c r="G273" s="43"/>
      <c r="H273" s="43"/>
      <c r="I273" s="23"/>
      <c r="J273" s="25" t="str">
        <f t="shared" si="8"/>
        <v/>
      </c>
      <c r="K273" s="25" t="str">
        <f t="shared" si="9"/>
        <v/>
      </c>
      <c r="L273" s="22"/>
      <c r="M273" s="23"/>
      <c r="N273" s="20"/>
      <c r="O273" s="16"/>
    </row>
    <row r="274" spans="1:15" s="6" customFormat="1" ht="14.1" customHeight="1">
      <c r="A274" s="146"/>
      <c r="B274" s="147"/>
      <c r="C274" s="43"/>
      <c r="D274" s="43"/>
      <c r="E274" s="43"/>
      <c r="F274" s="22"/>
      <c r="G274" s="43"/>
      <c r="H274" s="43"/>
      <c r="I274" s="23"/>
      <c r="J274" s="25" t="str">
        <f t="shared" si="8"/>
        <v/>
      </c>
      <c r="K274" s="25" t="str">
        <f t="shared" si="9"/>
        <v/>
      </c>
      <c r="L274" s="22"/>
      <c r="M274" s="23"/>
      <c r="N274" s="20"/>
      <c r="O274" s="16"/>
    </row>
    <row r="275" spans="1:15" s="6" customFormat="1" ht="14.1" customHeight="1">
      <c r="A275" s="146"/>
      <c r="B275" s="147"/>
      <c r="C275" s="43"/>
      <c r="D275" s="43"/>
      <c r="E275" s="43"/>
      <c r="F275" s="22"/>
      <c r="G275" s="43"/>
      <c r="H275" s="43"/>
      <c r="I275" s="23"/>
      <c r="J275" s="25" t="str">
        <f t="shared" si="8"/>
        <v/>
      </c>
      <c r="K275" s="25" t="str">
        <f t="shared" si="9"/>
        <v/>
      </c>
      <c r="L275" s="22"/>
      <c r="M275" s="23"/>
      <c r="N275" s="20"/>
      <c r="O275" s="16"/>
    </row>
    <row r="276" spans="1:15" s="6" customFormat="1" ht="14.1" customHeight="1">
      <c r="A276" s="146"/>
      <c r="B276" s="147"/>
      <c r="C276" s="43"/>
      <c r="D276" s="43"/>
      <c r="E276" s="43"/>
      <c r="F276" s="22"/>
      <c r="G276" s="43"/>
      <c r="H276" s="43"/>
      <c r="I276" s="23"/>
      <c r="J276" s="25" t="str">
        <f t="shared" si="8"/>
        <v/>
      </c>
      <c r="K276" s="25" t="str">
        <f t="shared" si="9"/>
        <v/>
      </c>
      <c r="L276" s="22"/>
      <c r="M276" s="23"/>
      <c r="N276" s="20"/>
      <c r="O276" s="16"/>
    </row>
    <row r="277" spans="1:15" s="6" customFormat="1" ht="14.1" customHeight="1">
      <c r="A277" s="146"/>
      <c r="B277" s="147"/>
      <c r="C277" s="43"/>
      <c r="D277" s="43"/>
      <c r="E277" s="43"/>
      <c r="F277" s="22"/>
      <c r="G277" s="43"/>
      <c r="H277" s="43"/>
      <c r="I277" s="23"/>
      <c r="J277" s="25" t="str">
        <f t="shared" si="8"/>
        <v/>
      </c>
      <c r="K277" s="25" t="str">
        <f t="shared" si="9"/>
        <v/>
      </c>
      <c r="L277" s="22"/>
      <c r="M277" s="23"/>
      <c r="N277" s="20"/>
      <c r="O277" s="16"/>
    </row>
    <row r="278" spans="1:15" s="6" customFormat="1" ht="14.1" customHeight="1">
      <c r="A278" s="146"/>
      <c r="B278" s="147"/>
      <c r="C278" s="43"/>
      <c r="D278" s="43"/>
      <c r="E278" s="43"/>
      <c r="F278" s="22"/>
      <c r="G278" s="43"/>
      <c r="H278" s="43"/>
      <c r="I278" s="23"/>
      <c r="J278" s="25" t="str">
        <f t="shared" si="8"/>
        <v/>
      </c>
      <c r="K278" s="25" t="str">
        <f t="shared" si="9"/>
        <v/>
      </c>
      <c r="L278" s="22"/>
      <c r="M278" s="23"/>
      <c r="N278" s="20"/>
      <c r="O278" s="16"/>
    </row>
    <row r="279" spans="1:15" s="6" customFormat="1" ht="14.1" customHeight="1">
      <c r="A279" s="146"/>
      <c r="B279" s="147"/>
      <c r="C279" s="43"/>
      <c r="D279" s="43"/>
      <c r="E279" s="43"/>
      <c r="F279" s="22"/>
      <c r="G279" s="43"/>
      <c r="H279" s="43"/>
      <c r="I279" s="23"/>
      <c r="J279" s="25" t="str">
        <f t="shared" si="8"/>
        <v/>
      </c>
      <c r="K279" s="25" t="str">
        <f t="shared" si="9"/>
        <v/>
      </c>
      <c r="L279" s="22"/>
      <c r="M279" s="23"/>
      <c r="N279" s="20"/>
      <c r="O279" s="16"/>
    </row>
    <row r="280" spans="1:15" s="6" customFormat="1" ht="14.1" customHeight="1">
      <c r="A280" s="146"/>
      <c r="B280" s="147"/>
      <c r="C280" s="43"/>
      <c r="D280" s="43"/>
      <c r="E280" s="43"/>
      <c r="F280" s="22"/>
      <c r="G280" s="43"/>
      <c r="H280" s="43"/>
      <c r="I280" s="23"/>
      <c r="J280" s="25" t="str">
        <f t="shared" si="8"/>
        <v/>
      </c>
      <c r="K280" s="25" t="str">
        <f t="shared" si="9"/>
        <v/>
      </c>
      <c r="L280" s="22"/>
      <c r="M280" s="23"/>
      <c r="N280" s="20"/>
      <c r="O280" s="16"/>
    </row>
    <row r="281" spans="1:15" s="6" customFormat="1" ht="14.1" customHeight="1">
      <c r="A281" s="146"/>
      <c r="B281" s="147"/>
      <c r="C281" s="43"/>
      <c r="D281" s="43"/>
      <c r="E281" s="43"/>
      <c r="F281" s="22"/>
      <c r="G281" s="43"/>
      <c r="H281" s="43"/>
      <c r="I281" s="23"/>
      <c r="J281" s="25" t="str">
        <f t="shared" si="8"/>
        <v/>
      </c>
      <c r="K281" s="25" t="str">
        <f t="shared" si="9"/>
        <v/>
      </c>
      <c r="L281" s="22"/>
      <c r="M281" s="23"/>
      <c r="N281" s="20"/>
      <c r="O281" s="16"/>
    </row>
    <row r="282" spans="1:15" s="6" customFormat="1" ht="14.1" customHeight="1">
      <c r="A282" s="146"/>
      <c r="B282" s="147"/>
      <c r="C282" s="43"/>
      <c r="D282" s="43"/>
      <c r="E282" s="43"/>
      <c r="F282" s="22"/>
      <c r="G282" s="43"/>
      <c r="H282" s="43"/>
      <c r="I282" s="23"/>
      <c r="J282" s="25" t="str">
        <f t="shared" si="8"/>
        <v/>
      </c>
      <c r="K282" s="25" t="str">
        <f t="shared" si="9"/>
        <v/>
      </c>
      <c r="L282" s="22"/>
      <c r="M282" s="23"/>
      <c r="N282" s="20"/>
      <c r="O282" s="16"/>
    </row>
    <row r="283" spans="1:15" s="6" customFormat="1" ht="14.1" customHeight="1">
      <c r="A283" s="132"/>
      <c r="B283" s="133"/>
      <c r="C283" s="43"/>
      <c r="D283" s="43"/>
      <c r="E283" s="43"/>
      <c r="F283" s="22"/>
      <c r="G283" s="43"/>
      <c r="H283" s="43"/>
      <c r="I283" s="23"/>
      <c r="J283" s="25" t="str">
        <f t="shared" si="8"/>
        <v/>
      </c>
      <c r="K283" s="25" t="str">
        <f t="shared" si="9"/>
        <v/>
      </c>
      <c r="L283" s="22"/>
      <c r="M283" s="23"/>
      <c r="N283" s="20"/>
      <c r="O283" s="16"/>
    </row>
    <row r="284" spans="1:15" s="6" customFormat="1" ht="14.1" customHeight="1">
      <c r="A284" s="132"/>
      <c r="B284" s="133"/>
      <c r="C284" s="43"/>
      <c r="D284" s="43"/>
      <c r="E284" s="43"/>
      <c r="F284" s="22"/>
      <c r="G284" s="43"/>
      <c r="H284" s="43"/>
      <c r="I284" s="23"/>
      <c r="J284" s="25" t="str">
        <f t="shared" si="8"/>
        <v/>
      </c>
      <c r="K284" s="25" t="str">
        <f t="shared" si="9"/>
        <v/>
      </c>
      <c r="L284" s="22"/>
      <c r="M284" s="23"/>
      <c r="N284" s="20"/>
      <c r="O284" s="16"/>
    </row>
    <row r="285" spans="1:15" s="6" customFormat="1" ht="14.1" customHeight="1">
      <c r="A285" s="132"/>
      <c r="B285" s="133"/>
      <c r="C285" s="43"/>
      <c r="D285" s="43"/>
      <c r="E285" s="43"/>
      <c r="F285" s="22"/>
      <c r="G285" s="43"/>
      <c r="H285" s="43"/>
      <c r="I285" s="23"/>
      <c r="J285" s="25" t="str">
        <f t="shared" si="8"/>
        <v/>
      </c>
      <c r="K285" s="25" t="str">
        <f t="shared" si="9"/>
        <v/>
      </c>
      <c r="L285" s="22"/>
      <c r="M285" s="23"/>
      <c r="N285" s="20"/>
      <c r="O285" s="16"/>
    </row>
    <row r="286" spans="1:15" s="6" customFormat="1" ht="14.1" customHeight="1">
      <c r="A286" s="132"/>
      <c r="B286" s="133"/>
      <c r="C286" s="43"/>
      <c r="D286" s="43"/>
      <c r="E286" s="43"/>
      <c r="F286" s="22"/>
      <c r="G286" s="43"/>
      <c r="H286" s="43"/>
      <c r="I286" s="23"/>
      <c r="J286" s="25" t="str">
        <f t="shared" si="8"/>
        <v/>
      </c>
      <c r="K286" s="25" t="str">
        <f t="shared" si="9"/>
        <v/>
      </c>
      <c r="L286" s="22"/>
      <c r="M286" s="23"/>
      <c r="N286" s="20"/>
      <c r="O286" s="16"/>
    </row>
    <row r="287" spans="1:15" s="6" customFormat="1" ht="14.1" customHeight="1">
      <c r="A287" s="132"/>
      <c r="B287" s="133"/>
      <c r="C287" s="43"/>
      <c r="D287" s="43"/>
      <c r="E287" s="43"/>
      <c r="F287" s="22"/>
      <c r="G287" s="43"/>
      <c r="H287" s="43"/>
      <c r="I287" s="23"/>
      <c r="J287" s="25" t="str">
        <f t="shared" si="8"/>
        <v/>
      </c>
      <c r="K287" s="25" t="str">
        <f t="shared" si="9"/>
        <v/>
      </c>
      <c r="L287" s="22"/>
      <c r="M287" s="23"/>
      <c r="N287" s="20"/>
      <c r="O287" s="16"/>
    </row>
    <row r="288" spans="1:15" s="6" customFormat="1" ht="14.1" customHeight="1">
      <c r="A288" s="132"/>
      <c r="B288" s="133"/>
      <c r="C288" s="43"/>
      <c r="D288" s="43"/>
      <c r="E288" s="43"/>
      <c r="F288" s="22"/>
      <c r="G288" s="43"/>
      <c r="H288" s="43"/>
      <c r="I288" s="23"/>
      <c r="J288" s="25" t="str">
        <f t="shared" si="8"/>
        <v/>
      </c>
      <c r="K288" s="25" t="str">
        <f t="shared" si="9"/>
        <v/>
      </c>
      <c r="L288" s="22"/>
      <c r="M288" s="23"/>
      <c r="N288" s="20"/>
      <c r="O288" s="16"/>
    </row>
    <row r="289" spans="1:15" s="6" customFormat="1" ht="14.1" customHeight="1">
      <c r="A289" s="132"/>
      <c r="B289" s="133"/>
      <c r="C289" s="43"/>
      <c r="D289" s="43"/>
      <c r="E289" s="43"/>
      <c r="F289" s="22"/>
      <c r="G289" s="43"/>
      <c r="H289" s="43"/>
      <c r="I289" s="23"/>
      <c r="J289" s="25" t="str">
        <f t="shared" si="8"/>
        <v/>
      </c>
      <c r="K289" s="25" t="str">
        <f t="shared" si="9"/>
        <v/>
      </c>
      <c r="L289" s="22"/>
      <c r="M289" s="23"/>
      <c r="N289" s="20"/>
      <c r="O289" s="16"/>
    </row>
    <row r="290" spans="1:15" s="6" customFormat="1" ht="14.1" customHeight="1">
      <c r="A290" s="132"/>
      <c r="B290" s="133"/>
      <c r="C290" s="43"/>
      <c r="D290" s="43"/>
      <c r="E290" s="43"/>
      <c r="F290" s="22"/>
      <c r="G290" s="43"/>
      <c r="H290" s="43"/>
      <c r="I290" s="23"/>
      <c r="J290" s="25" t="str">
        <f t="shared" si="8"/>
        <v/>
      </c>
      <c r="K290" s="25" t="str">
        <f t="shared" si="9"/>
        <v/>
      </c>
      <c r="L290" s="22"/>
      <c r="M290" s="23"/>
      <c r="N290" s="20"/>
      <c r="O290" s="16"/>
    </row>
    <row r="291" spans="1:15" s="6" customFormat="1" ht="14.1" customHeight="1">
      <c r="A291" s="132"/>
      <c r="B291" s="133"/>
      <c r="C291" s="43"/>
      <c r="D291" s="43"/>
      <c r="E291" s="43"/>
      <c r="F291" s="22"/>
      <c r="G291" s="43"/>
      <c r="H291" s="43"/>
      <c r="I291" s="23"/>
      <c r="J291" s="25" t="str">
        <f t="shared" si="8"/>
        <v/>
      </c>
      <c r="K291" s="25" t="str">
        <f t="shared" si="9"/>
        <v/>
      </c>
      <c r="L291" s="22"/>
      <c r="M291" s="23"/>
      <c r="N291" s="20"/>
      <c r="O291" s="16"/>
    </row>
    <row r="292" spans="1:15" s="6" customFormat="1" ht="14.1" customHeight="1">
      <c r="A292" s="132"/>
      <c r="B292" s="133"/>
      <c r="C292" s="43"/>
      <c r="D292" s="43"/>
      <c r="E292" s="43"/>
      <c r="F292" s="22"/>
      <c r="G292" s="43"/>
      <c r="H292" s="43"/>
      <c r="I292" s="23"/>
      <c r="J292" s="25" t="str">
        <f t="shared" si="8"/>
        <v/>
      </c>
      <c r="K292" s="25" t="str">
        <f t="shared" si="9"/>
        <v/>
      </c>
      <c r="L292" s="22"/>
      <c r="M292" s="23"/>
      <c r="N292" s="20"/>
      <c r="O292" s="16"/>
    </row>
    <row r="293" spans="1:15" s="6" customFormat="1" ht="14.1" customHeight="1">
      <c r="A293" s="132"/>
      <c r="B293" s="133"/>
      <c r="C293" s="43"/>
      <c r="D293" s="43"/>
      <c r="E293" s="43"/>
      <c r="F293" s="22"/>
      <c r="G293" s="43"/>
      <c r="H293" s="43"/>
      <c r="I293" s="23"/>
      <c r="J293" s="25" t="str">
        <f t="shared" si="8"/>
        <v/>
      </c>
      <c r="K293" s="25" t="str">
        <f t="shared" si="9"/>
        <v/>
      </c>
      <c r="L293" s="22"/>
      <c r="M293" s="23"/>
      <c r="N293" s="20"/>
      <c r="O293" s="16"/>
    </row>
    <row r="294" spans="1:15" s="6" customFormat="1" ht="14.1" customHeight="1">
      <c r="A294" s="132"/>
      <c r="B294" s="133"/>
      <c r="C294" s="43"/>
      <c r="D294" s="43"/>
      <c r="E294" s="43"/>
      <c r="F294" s="22"/>
      <c r="G294" s="43"/>
      <c r="H294" s="43"/>
      <c r="I294" s="23"/>
      <c r="J294" s="25" t="str">
        <f t="shared" si="8"/>
        <v/>
      </c>
      <c r="K294" s="25" t="str">
        <f t="shared" si="9"/>
        <v/>
      </c>
      <c r="L294" s="22"/>
      <c r="M294" s="23"/>
      <c r="N294" s="20"/>
      <c r="O294" s="16"/>
    </row>
    <row r="295" spans="1:15" s="6" customFormat="1" ht="14.1" customHeight="1">
      <c r="A295" s="132"/>
      <c r="B295" s="133"/>
      <c r="C295" s="43"/>
      <c r="D295" s="43"/>
      <c r="E295" s="43"/>
      <c r="F295" s="22"/>
      <c r="G295" s="43"/>
      <c r="H295" s="43"/>
      <c r="I295" s="23"/>
      <c r="J295" s="25" t="str">
        <f t="shared" si="8"/>
        <v/>
      </c>
      <c r="K295" s="25" t="str">
        <f t="shared" si="9"/>
        <v/>
      </c>
      <c r="L295" s="22"/>
      <c r="M295" s="23"/>
      <c r="N295" s="20"/>
      <c r="O295" s="16"/>
    </row>
    <row r="296" spans="1:15" s="6" customFormat="1" ht="14.1" customHeight="1">
      <c r="A296" s="132"/>
      <c r="B296" s="133"/>
      <c r="C296" s="43"/>
      <c r="D296" s="43"/>
      <c r="E296" s="43"/>
      <c r="F296" s="22"/>
      <c r="G296" s="43"/>
      <c r="H296" s="43"/>
      <c r="I296" s="23"/>
      <c r="J296" s="25" t="str">
        <f t="shared" si="8"/>
        <v/>
      </c>
      <c r="K296" s="25" t="str">
        <f t="shared" si="9"/>
        <v/>
      </c>
      <c r="L296" s="22"/>
      <c r="M296" s="23"/>
      <c r="N296" s="20"/>
      <c r="O296" s="16"/>
    </row>
    <row r="297" spans="1:15" s="6" customFormat="1" ht="14.1" customHeight="1">
      <c r="A297" s="132"/>
      <c r="B297" s="133"/>
      <c r="C297" s="43"/>
      <c r="D297" s="43"/>
      <c r="E297" s="43"/>
      <c r="F297" s="22"/>
      <c r="G297" s="43"/>
      <c r="H297" s="43"/>
      <c r="I297" s="23"/>
      <c r="J297" s="25" t="str">
        <f t="shared" si="8"/>
        <v/>
      </c>
      <c r="K297" s="25" t="str">
        <f t="shared" si="9"/>
        <v/>
      </c>
      <c r="L297" s="22"/>
      <c r="M297" s="23"/>
      <c r="N297" s="20"/>
      <c r="O297" s="16"/>
    </row>
    <row r="298" spans="1:15" s="6" customFormat="1" ht="14.1" customHeight="1">
      <c r="A298" s="132"/>
      <c r="B298" s="133"/>
      <c r="C298" s="43"/>
      <c r="D298" s="43"/>
      <c r="E298" s="43"/>
      <c r="F298" s="22"/>
      <c r="G298" s="43"/>
      <c r="H298" s="43"/>
      <c r="I298" s="23"/>
      <c r="J298" s="25" t="str">
        <f t="shared" si="8"/>
        <v/>
      </c>
      <c r="K298" s="25" t="str">
        <f t="shared" si="9"/>
        <v/>
      </c>
      <c r="L298" s="22"/>
      <c r="M298" s="23"/>
      <c r="N298" s="20"/>
      <c r="O298" s="16"/>
    </row>
    <row r="299" spans="1:15" s="6" customFormat="1" ht="14.1" customHeight="1">
      <c r="A299" s="132"/>
      <c r="B299" s="133"/>
      <c r="C299" s="43"/>
      <c r="D299" s="43"/>
      <c r="E299" s="43"/>
      <c r="F299" s="22"/>
      <c r="G299" s="43"/>
      <c r="H299" s="43"/>
      <c r="I299" s="23"/>
      <c r="J299" s="25" t="str">
        <f t="shared" si="8"/>
        <v/>
      </c>
      <c r="K299" s="25" t="str">
        <f t="shared" si="9"/>
        <v/>
      </c>
      <c r="L299" s="22"/>
      <c r="M299" s="23"/>
      <c r="N299" s="20"/>
      <c r="O299" s="16"/>
    </row>
    <row r="300" spans="1:15" s="6" customFormat="1" ht="14.1" customHeight="1">
      <c r="A300" s="132"/>
      <c r="B300" s="133"/>
      <c r="C300" s="43"/>
      <c r="D300" s="43"/>
      <c r="E300" s="43"/>
      <c r="F300" s="22"/>
      <c r="G300" s="43"/>
      <c r="H300" s="43"/>
      <c r="I300" s="23"/>
      <c r="J300" s="25" t="str">
        <f t="shared" si="8"/>
        <v/>
      </c>
      <c r="K300" s="25" t="str">
        <f t="shared" si="9"/>
        <v/>
      </c>
      <c r="L300" s="22"/>
      <c r="M300" s="23"/>
      <c r="N300" s="20"/>
      <c r="O300" s="16"/>
    </row>
    <row r="301" spans="1:15" s="6" customFormat="1" ht="14.1" customHeight="1">
      <c r="A301" s="132"/>
      <c r="B301" s="133"/>
      <c r="C301" s="43"/>
      <c r="D301" s="43"/>
      <c r="E301" s="43"/>
      <c r="F301" s="22"/>
      <c r="G301" s="43"/>
      <c r="H301" s="43"/>
      <c r="I301" s="23"/>
      <c r="J301" s="25" t="str">
        <f t="shared" si="8"/>
        <v/>
      </c>
      <c r="K301" s="25" t="str">
        <f t="shared" si="9"/>
        <v/>
      </c>
      <c r="L301" s="22"/>
      <c r="M301" s="23"/>
      <c r="N301" s="20"/>
      <c r="O301" s="16"/>
    </row>
    <row r="302" spans="1:15" s="6" customFormat="1" ht="14.1" customHeight="1">
      <c r="A302" s="132"/>
      <c r="B302" s="133"/>
      <c r="C302" s="43"/>
      <c r="D302" s="43"/>
      <c r="E302" s="43"/>
      <c r="F302" s="22"/>
      <c r="G302" s="43"/>
      <c r="H302" s="43"/>
      <c r="I302" s="23"/>
      <c r="J302" s="25" t="str">
        <f t="shared" si="8"/>
        <v/>
      </c>
      <c r="K302" s="25" t="str">
        <f t="shared" si="9"/>
        <v/>
      </c>
      <c r="L302" s="22"/>
      <c r="M302" s="23"/>
      <c r="N302" s="20"/>
      <c r="O302" s="16"/>
    </row>
    <row r="303" spans="1:15" s="6" customFormat="1" ht="14.1" customHeight="1">
      <c r="A303" s="132"/>
      <c r="B303" s="133"/>
      <c r="C303" s="43"/>
      <c r="D303" s="43"/>
      <c r="E303" s="43"/>
      <c r="F303" s="22"/>
      <c r="G303" s="43"/>
      <c r="H303" s="43"/>
      <c r="I303" s="23"/>
      <c r="J303" s="25" t="str">
        <f t="shared" si="8"/>
        <v/>
      </c>
      <c r="K303" s="25" t="str">
        <f t="shared" si="9"/>
        <v/>
      </c>
      <c r="L303" s="22"/>
      <c r="M303" s="23"/>
      <c r="N303" s="20"/>
      <c r="O303" s="16"/>
    </row>
    <row r="304" spans="1:15" s="6" customFormat="1" ht="14.1" customHeight="1">
      <c r="A304" s="132"/>
      <c r="B304" s="133"/>
      <c r="C304" s="43"/>
      <c r="D304" s="43"/>
      <c r="E304" s="43"/>
      <c r="F304" s="22"/>
      <c r="G304" s="43"/>
      <c r="H304" s="43"/>
      <c r="I304" s="23"/>
      <c r="J304" s="25" t="str">
        <f t="shared" si="8"/>
        <v/>
      </c>
      <c r="K304" s="25" t="str">
        <f t="shared" si="9"/>
        <v/>
      </c>
      <c r="L304" s="22"/>
      <c r="M304" s="23"/>
      <c r="N304" s="20"/>
      <c r="O304" s="16"/>
    </row>
    <row r="305" spans="1:15" s="6" customFormat="1" ht="14.1" customHeight="1">
      <c r="A305" s="132"/>
      <c r="B305" s="133"/>
      <c r="C305" s="43"/>
      <c r="D305" s="43"/>
      <c r="E305" s="43"/>
      <c r="F305" s="22"/>
      <c r="G305" s="43"/>
      <c r="H305" s="43"/>
      <c r="I305" s="23"/>
      <c r="J305" s="25" t="str">
        <f t="shared" si="8"/>
        <v/>
      </c>
      <c r="K305" s="25" t="str">
        <f t="shared" si="9"/>
        <v/>
      </c>
      <c r="L305" s="22"/>
      <c r="M305" s="23"/>
      <c r="N305" s="20"/>
      <c r="O305" s="16"/>
    </row>
    <row r="306" spans="1:15" s="6" customFormat="1" ht="14.1" customHeight="1">
      <c r="A306" s="132"/>
      <c r="B306" s="133"/>
      <c r="C306" s="43"/>
      <c r="D306" s="43"/>
      <c r="E306" s="43"/>
      <c r="F306" s="22"/>
      <c r="G306" s="43"/>
      <c r="H306" s="43"/>
      <c r="I306" s="23"/>
      <c r="J306" s="25" t="str">
        <f t="shared" si="8"/>
        <v/>
      </c>
      <c r="K306" s="25" t="str">
        <f t="shared" si="9"/>
        <v/>
      </c>
      <c r="L306" s="22"/>
      <c r="M306" s="23"/>
      <c r="N306" s="20"/>
      <c r="O306" s="16"/>
    </row>
    <row r="307" spans="1:15" s="6" customFormat="1" ht="14.1" customHeight="1">
      <c r="A307" s="132"/>
      <c r="B307" s="133"/>
      <c r="C307" s="43"/>
      <c r="D307" s="43"/>
      <c r="E307" s="43"/>
      <c r="F307" s="22"/>
      <c r="G307" s="43"/>
      <c r="H307" s="43"/>
      <c r="I307" s="23"/>
      <c r="J307" s="25" t="str">
        <f t="shared" si="8"/>
        <v/>
      </c>
      <c r="K307" s="25" t="str">
        <f t="shared" si="9"/>
        <v/>
      </c>
      <c r="L307" s="22"/>
      <c r="M307" s="23"/>
      <c r="N307" s="20"/>
      <c r="O307" s="16"/>
    </row>
    <row r="308" spans="1:15" s="6" customFormat="1" ht="14.1" customHeight="1">
      <c r="A308" s="132"/>
      <c r="B308" s="133"/>
      <c r="C308" s="43"/>
      <c r="D308" s="43"/>
      <c r="E308" s="43"/>
      <c r="F308" s="22"/>
      <c r="G308" s="43"/>
      <c r="H308" s="43"/>
      <c r="I308" s="23"/>
      <c r="J308" s="25" t="str">
        <f t="shared" si="8"/>
        <v/>
      </c>
      <c r="K308" s="25" t="str">
        <f t="shared" si="9"/>
        <v/>
      </c>
      <c r="L308" s="22"/>
      <c r="M308" s="23"/>
      <c r="N308" s="20"/>
      <c r="O308" s="16"/>
    </row>
    <row r="309" spans="1:15" s="6" customFormat="1" ht="14.1" customHeight="1">
      <c r="A309" s="132"/>
      <c r="B309" s="133"/>
      <c r="C309" s="43"/>
      <c r="D309" s="43"/>
      <c r="E309" s="43"/>
      <c r="F309" s="22"/>
      <c r="G309" s="43"/>
      <c r="H309" s="43"/>
      <c r="I309" s="23"/>
      <c r="J309" s="25" t="str">
        <f t="shared" si="8"/>
        <v/>
      </c>
      <c r="K309" s="25" t="str">
        <f t="shared" si="9"/>
        <v/>
      </c>
      <c r="L309" s="22"/>
      <c r="M309" s="23"/>
      <c r="N309" s="20"/>
      <c r="O309" s="16"/>
    </row>
    <row r="310" spans="1:15" s="6" customFormat="1" ht="14.1" customHeight="1">
      <c r="A310" s="132"/>
      <c r="B310" s="133"/>
      <c r="C310" s="43"/>
      <c r="D310" s="43"/>
      <c r="E310" s="43"/>
      <c r="F310" s="22"/>
      <c r="G310" s="43"/>
      <c r="H310" s="43"/>
      <c r="I310" s="23"/>
      <c r="J310" s="25" t="str">
        <f t="shared" si="8"/>
        <v/>
      </c>
      <c r="K310" s="25" t="str">
        <f t="shared" si="9"/>
        <v/>
      </c>
      <c r="L310" s="22"/>
      <c r="M310" s="23"/>
      <c r="N310" s="20"/>
      <c r="O310" s="16"/>
    </row>
    <row r="311" spans="1:15" s="6" customFormat="1" ht="14.1" customHeight="1">
      <c r="A311" s="132"/>
      <c r="B311" s="133"/>
      <c r="C311" s="43"/>
      <c r="D311" s="43"/>
      <c r="E311" s="43"/>
      <c r="F311" s="22"/>
      <c r="G311" s="43"/>
      <c r="H311" s="43"/>
      <c r="I311" s="23"/>
      <c r="J311" s="25" t="str">
        <f t="shared" si="8"/>
        <v/>
      </c>
      <c r="K311" s="25" t="str">
        <f t="shared" si="9"/>
        <v/>
      </c>
      <c r="L311" s="22"/>
      <c r="M311" s="23"/>
      <c r="N311" s="20"/>
      <c r="O311" s="16"/>
    </row>
    <row r="312" spans="1:15" s="6" customFormat="1" ht="14.1" customHeight="1">
      <c r="A312" s="132"/>
      <c r="B312" s="133"/>
      <c r="C312" s="43"/>
      <c r="D312" s="43"/>
      <c r="E312" s="43"/>
      <c r="F312" s="22"/>
      <c r="G312" s="43"/>
      <c r="H312" s="43"/>
      <c r="I312" s="23"/>
      <c r="J312" s="25" t="str">
        <f t="shared" si="8"/>
        <v/>
      </c>
      <c r="K312" s="25" t="str">
        <f t="shared" si="9"/>
        <v/>
      </c>
      <c r="L312" s="22"/>
      <c r="M312" s="23"/>
      <c r="N312" s="20"/>
      <c r="O312" s="16"/>
    </row>
    <row r="313" spans="1:15" s="6" customFormat="1" ht="14.1" customHeight="1">
      <c r="A313" s="132"/>
      <c r="B313" s="133"/>
      <c r="C313" s="43"/>
      <c r="D313" s="43"/>
      <c r="E313" s="43"/>
      <c r="F313" s="22"/>
      <c r="G313" s="43"/>
      <c r="H313" s="43"/>
      <c r="I313" s="23"/>
      <c r="J313" s="25" t="str">
        <f t="shared" si="8"/>
        <v/>
      </c>
      <c r="K313" s="25" t="str">
        <f t="shared" si="9"/>
        <v/>
      </c>
      <c r="L313" s="22"/>
      <c r="M313" s="23"/>
      <c r="N313" s="20"/>
      <c r="O313" s="16"/>
    </row>
    <row r="314" spans="1:15" s="6" customFormat="1" ht="14.1" customHeight="1">
      <c r="A314" s="132"/>
      <c r="B314" s="133"/>
      <c r="C314" s="43"/>
      <c r="D314" s="43"/>
      <c r="E314" s="43"/>
      <c r="F314" s="22"/>
      <c r="G314" s="43"/>
      <c r="H314" s="43"/>
      <c r="I314" s="23"/>
      <c r="J314" s="25" t="str">
        <f t="shared" si="8"/>
        <v/>
      </c>
      <c r="K314" s="25" t="str">
        <f t="shared" si="9"/>
        <v/>
      </c>
      <c r="L314" s="22"/>
      <c r="M314" s="23"/>
      <c r="N314" s="20"/>
      <c r="O314" s="16"/>
    </row>
    <row r="315" spans="1:15" s="6" customFormat="1" ht="14.1" customHeight="1">
      <c r="A315" s="132"/>
      <c r="B315" s="133"/>
      <c r="C315" s="43"/>
      <c r="D315" s="43"/>
      <c r="E315" s="43"/>
      <c r="F315" s="22"/>
      <c r="G315" s="43"/>
      <c r="H315" s="43"/>
      <c r="I315" s="23"/>
      <c r="J315" s="25" t="str">
        <f t="shared" si="8"/>
        <v/>
      </c>
      <c r="K315" s="25" t="str">
        <f t="shared" si="9"/>
        <v/>
      </c>
      <c r="L315" s="22"/>
      <c r="M315" s="23"/>
      <c r="N315" s="20"/>
      <c r="O315" s="16"/>
    </row>
    <row r="316" spans="1:15" s="6" customFormat="1" ht="14.1" customHeight="1">
      <c r="A316" s="132"/>
      <c r="B316" s="133"/>
      <c r="C316" s="43"/>
      <c r="D316" s="43"/>
      <c r="E316" s="43"/>
      <c r="F316" s="22"/>
      <c r="G316" s="43"/>
      <c r="H316" s="43"/>
      <c r="I316" s="23"/>
      <c r="J316" s="25" t="str">
        <f t="shared" si="8"/>
        <v/>
      </c>
      <c r="K316" s="25" t="str">
        <f t="shared" si="9"/>
        <v/>
      </c>
      <c r="L316" s="22"/>
      <c r="M316" s="23"/>
      <c r="N316" s="20"/>
      <c r="O316" s="16"/>
    </row>
    <row r="317" spans="1:15" s="6" customFormat="1" ht="14.1" customHeight="1">
      <c r="A317" s="132"/>
      <c r="B317" s="133"/>
      <c r="C317" s="43"/>
      <c r="D317" s="43"/>
      <c r="E317" s="43"/>
      <c r="F317" s="22"/>
      <c r="G317" s="43"/>
      <c r="H317" s="43"/>
      <c r="I317" s="23"/>
      <c r="J317" s="25" t="str">
        <f t="shared" si="8"/>
        <v/>
      </c>
      <c r="K317" s="25" t="str">
        <f t="shared" si="9"/>
        <v/>
      </c>
      <c r="L317" s="22"/>
      <c r="M317" s="23"/>
      <c r="N317" s="20"/>
      <c r="O317" s="16"/>
    </row>
    <row r="318" spans="1:15" s="6" customFormat="1" ht="14.1" customHeight="1">
      <c r="A318" s="132"/>
      <c r="B318" s="133"/>
      <c r="C318" s="43"/>
      <c r="D318" s="43"/>
      <c r="E318" s="43"/>
      <c r="F318" s="22"/>
      <c r="G318" s="43"/>
      <c r="H318" s="43"/>
      <c r="I318" s="23"/>
      <c r="J318" s="25" t="str">
        <f t="shared" si="8"/>
        <v/>
      </c>
      <c r="K318" s="25" t="str">
        <f t="shared" si="9"/>
        <v/>
      </c>
      <c r="L318" s="22"/>
      <c r="M318" s="23"/>
      <c r="N318" s="20"/>
      <c r="O318" s="16"/>
    </row>
    <row r="319" spans="1:15" s="6" customFormat="1" ht="14.1" customHeight="1">
      <c r="A319" s="132"/>
      <c r="B319" s="133"/>
      <c r="C319" s="43"/>
      <c r="D319" s="43"/>
      <c r="E319" s="43"/>
      <c r="F319" s="22"/>
      <c r="G319" s="43"/>
      <c r="H319" s="43"/>
      <c r="I319" s="23"/>
      <c r="J319" s="25" t="str">
        <f t="shared" si="8"/>
        <v/>
      </c>
      <c r="K319" s="25" t="str">
        <f t="shared" si="9"/>
        <v/>
      </c>
      <c r="L319" s="22"/>
      <c r="M319" s="23"/>
      <c r="N319" s="20"/>
      <c r="O319" s="16"/>
    </row>
    <row r="320" spans="1:15" s="6" customFormat="1" ht="14.1" customHeight="1">
      <c r="A320" s="132"/>
      <c r="B320" s="133"/>
      <c r="C320" s="43"/>
      <c r="D320" s="43"/>
      <c r="E320" s="43"/>
      <c r="F320" s="22"/>
      <c r="G320" s="43"/>
      <c r="H320" s="43"/>
      <c r="I320" s="23"/>
      <c r="J320" s="25" t="str">
        <f t="shared" si="8"/>
        <v/>
      </c>
      <c r="K320" s="25" t="str">
        <f t="shared" si="9"/>
        <v/>
      </c>
      <c r="L320" s="22"/>
      <c r="M320" s="23"/>
      <c r="N320" s="20"/>
      <c r="O320" s="16"/>
    </row>
    <row r="321" spans="1:15" s="6" customFormat="1" ht="14.1" customHeight="1">
      <c r="A321" s="132"/>
      <c r="B321" s="133"/>
      <c r="C321" s="43"/>
      <c r="D321" s="43"/>
      <c r="E321" s="43"/>
      <c r="F321" s="22"/>
      <c r="G321" s="43"/>
      <c r="H321" s="43"/>
      <c r="I321" s="23"/>
      <c r="J321" s="25" t="str">
        <f t="shared" si="8"/>
        <v/>
      </c>
      <c r="K321" s="25" t="str">
        <f t="shared" si="9"/>
        <v/>
      </c>
      <c r="L321" s="22"/>
      <c r="M321" s="23"/>
      <c r="N321" s="20"/>
      <c r="O321" s="16"/>
    </row>
    <row r="322" spans="1:15" s="6" customFormat="1" ht="14.1" customHeight="1">
      <c r="A322" s="132"/>
      <c r="B322" s="133"/>
      <c r="C322" s="43"/>
      <c r="D322" s="43"/>
      <c r="E322" s="43"/>
      <c r="F322" s="22"/>
      <c r="G322" s="43"/>
      <c r="H322" s="43"/>
      <c r="I322" s="23"/>
      <c r="J322" s="25" t="str">
        <f t="shared" si="8"/>
        <v/>
      </c>
      <c r="K322" s="25" t="str">
        <f t="shared" si="9"/>
        <v/>
      </c>
      <c r="L322" s="22"/>
      <c r="M322" s="23"/>
      <c r="N322" s="20"/>
      <c r="O322" s="16"/>
    </row>
    <row r="323" spans="1:15" s="6" customFormat="1" ht="14.1" customHeight="1">
      <c r="A323" s="132"/>
      <c r="B323" s="133"/>
      <c r="C323" s="43"/>
      <c r="D323" s="43"/>
      <c r="E323" s="43"/>
      <c r="F323" s="22"/>
      <c r="G323" s="43"/>
      <c r="H323" s="43"/>
      <c r="I323" s="23"/>
      <c r="J323" s="25" t="str">
        <f t="shared" si="8"/>
        <v/>
      </c>
      <c r="K323" s="25" t="str">
        <f t="shared" si="9"/>
        <v/>
      </c>
      <c r="L323" s="22"/>
      <c r="M323" s="23"/>
      <c r="N323" s="20"/>
      <c r="O323" s="16"/>
    </row>
    <row r="324" spans="1:15" s="6" customFormat="1" ht="14.1" customHeight="1">
      <c r="A324" s="132"/>
      <c r="B324" s="133"/>
      <c r="C324" s="43"/>
      <c r="D324" s="43"/>
      <c r="E324" s="43"/>
      <c r="F324" s="22"/>
      <c r="G324" s="43"/>
      <c r="H324" s="43"/>
      <c r="I324" s="23"/>
      <c r="J324" s="25" t="str">
        <f t="shared" si="8"/>
        <v/>
      </c>
      <c r="K324" s="25" t="str">
        <f t="shared" si="9"/>
        <v/>
      </c>
      <c r="L324" s="22"/>
      <c r="M324" s="23"/>
      <c r="N324" s="20"/>
      <c r="O324" s="16"/>
    </row>
    <row r="325" spans="1:15" s="6" customFormat="1" ht="14.1" customHeight="1">
      <c r="A325" s="132"/>
      <c r="B325" s="133"/>
      <c r="C325" s="43"/>
      <c r="D325" s="43"/>
      <c r="E325" s="43"/>
      <c r="F325" s="22"/>
      <c r="G325" s="43"/>
      <c r="H325" s="43"/>
      <c r="I325" s="23"/>
      <c r="J325" s="25" t="str">
        <f t="shared" si="8"/>
        <v/>
      </c>
      <c r="K325" s="25" t="str">
        <f t="shared" si="9"/>
        <v/>
      </c>
      <c r="L325" s="22"/>
      <c r="M325" s="23"/>
      <c r="N325" s="20"/>
      <c r="O325" s="16"/>
    </row>
    <row r="326" spans="1:15" s="6" customFormat="1" ht="14.1" customHeight="1">
      <c r="A326" s="132"/>
      <c r="B326" s="133"/>
      <c r="C326" s="43"/>
      <c r="D326" s="43"/>
      <c r="E326" s="43"/>
      <c r="F326" s="22"/>
      <c r="G326" s="43"/>
      <c r="H326" s="43"/>
      <c r="I326" s="23"/>
      <c r="J326" s="25" t="str">
        <f t="shared" si="8"/>
        <v/>
      </c>
      <c r="K326" s="25" t="str">
        <f t="shared" si="9"/>
        <v/>
      </c>
      <c r="L326" s="22"/>
      <c r="M326" s="23"/>
      <c r="N326" s="20"/>
      <c r="O326" s="16"/>
    </row>
    <row r="327" spans="1:15" s="6" customFormat="1" ht="14.1" customHeight="1">
      <c r="A327" s="132"/>
      <c r="B327" s="133"/>
      <c r="C327" s="43"/>
      <c r="D327" s="43"/>
      <c r="E327" s="43"/>
      <c r="F327" s="22"/>
      <c r="G327" s="43"/>
      <c r="H327" s="43"/>
      <c r="I327" s="23"/>
      <c r="J327" s="25" t="str">
        <f t="shared" si="8"/>
        <v/>
      </c>
      <c r="K327" s="25" t="str">
        <f t="shared" si="9"/>
        <v/>
      </c>
      <c r="L327" s="22"/>
      <c r="M327" s="23"/>
      <c r="N327" s="20"/>
      <c r="O327" s="16"/>
    </row>
    <row r="328" spans="1:15" s="6" customFormat="1" ht="14.1" customHeight="1">
      <c r="A328" s="132"/>
      <c r="B328" s="133"/>
      <c r="C328" s="43"/>
      <c r="D328" s="43"/>
      <c r="E328" s="43"/>
      <c r="F328" s="22"/>
      <c r="G328" s="43"/>
      <c r="H328" s="43"/>
      <c r="I328" s="23"/>
      <c r="J328" s="25" t="str">
        <f t="shared" si="8"/>
        <v/>
      </c>
      <c r="K328" s="25" t="str">
        <f t="shared" si="9"/>
        <v/>
      </c>
      <c r="L328" s="22"/>
      <c r="M328" s="23"/>
      <c r="N328" s="20"/>
      <c r="O328" s="16"/>
    </row>
    <row r="329" spans="1:15" s="6" customFormat="1" ht="14.1" customHeight="1">
      <c r="A329" s="132"/>
      <c r="B329" s="133"/>
      <c r="C329" s="43"/>
      <c r="D329" s="43"/>
      <c r="E329" s="43"/>
      <c r="F329" s="22"/>
      <c r="G329" s="43"/>
      <c r="H329" s="43"/>
      <c r="I329" s="23"/>
      <c r="J329" s="25" t="str">
        <f t="shared" si="8"/>
        <v/>
      </c>
      <c r="K329" s="25" t="str">
        <f t="shared" si="9"/>
        <v/>
      </c>
      <c r="L329" s="22"/>
      <c r="M329" s="23"/>
      <c r="N329" s="20"/>
      <c r="O329" s="16"/>
    </row>
    <row r="330" spans="1:15" s="6" customFormat="1" ht="14.1" customHeight="1">
      <c r="A330" s="132"/>
      <c r="B330" s="133"/>
      <c r="C330" s="43"/>
      <c r="D330" s="43"/>
      <c r="E330" s="43"/>
      <c r="F330" s="22"/>
      <c r="G330" s="43"/>
      <c r="H330" s="43"/>
      <c r="I330" s="23"/>
      <c r="J330" s="25" t="str">
        <f t="shared" si="8"/>
        <v/>
      </c>
      <c r="K330" s="25" t="str">
        <f t="shared" si="9"/>
        <v/>
      </c>
      <c r="L330" s="22"/>
      <c r="M330" s="23"/>
      <c r="N330" s="20"/>
      <c r="O330" s="16"/>
    </row>
    <row r="331" spans="1:15" s="6" customFormat="1" ht="14.1" customHeight="1">
      <c r="A331" s="132"/>
      <c r="B331" s="133"/>
      <c r="C331" s="43"/>
      <c r="D331" s="43"/>
      <c r="E331" s="43"/>
      <c r="F331" s="22"/>
      <c r="G331" s="43"/>
      <c r="H331" s="43"/>
      <c r="I331" s="23"/>
      <c r="J331" s="25" t="str">
        <f t="shared" si="8"/>
        <v/>
      </c>
      <c r="K331" s="25" t="str">
        <f t="shared" si="9"/>
        <v/>
      </c>
      <c r="L331" s="22"/>
      <c r="M331" s="23"/>
      <c r="N331" s="20"/>
      <c r="O331" s="16"/>
    </row>
    <row r="332" spans="1:15" s="6" customFormat="1" ht="14.1" customHeight="1">
      <c r="A332" s="132"/>
      <c r="B332" s="133"/>
      <c r="C332" s="43"/>
      <c r="D332" s="43"/>
      <c r="E332" s="43"/>
      <c r="F332" s="22"/>
      <c r="G332" s="43"/>
      <c r="H332" s="43"/>
      <c r="I332" s="23"/>
      <c r="J332" s="25" t="str">
        <f t="shared" si="8"/>
        <v/>
      </c>
      <c r="K332" s="25" t="str">
        <f t="shared" si="9"/>
        <v/>
      </c>
      <c r="L332" s="22"/>
      <c r="M332" s="23"/>
      <c r="N332" s="20"/>
      <c r="O332" s="16"/>
    </row>
    <row r="333" spans="1:15" s="6" customFormat="1" ht="14.1" customHeight="1">
      <c r="A333" s="132"/>
      <c r="B333" s="133"/>
      <c r="C333" s="43"/>
      <c r="D333" s="43"/>
      <c r="E333" s="43"/>
      <c r="F333" s="22"/>
      <c r="G333" s="43"/>
      <c r="H333" s="43"/>
      <c r="I333" s="23"/>
      <c r="J333" s="25" t="str">
        <f t="shared" ref="J333:J396" si="10">IF(D333&lt;&gt;"",D333,"")</f>
        <v/>
      </c>
      <c r="K333" s="25" t="str">
        <f t="shared" ref="K333:K396" si="11">IF(D333="Passed",E333,IF(D333="Warning",E333,""))</f>
        <v/>
      </c>
      <c r="L333" s="22"/>
      <c r="M333" s="23"/>
      <c r="N333" s="20"/>
      <c r="O333" s="16"/>
    </row>
    <row r="334" spans="1:15" s="6" customFormat="1" ht="14.1" customHeight="1">
      <c r="A334" s="132"/>
      <c r="B334" s="133"/>
      <c r="C334" s="43"/>
      <c r="D334" s="43"/>
      <c r="E334" s="43"/>
      <c r="F334" s="22"/>
      <c r="G334" s="43"/>
      <c r="H334" s="43"/>
      <c r="I334" s="23"/>
      <c r="J334" s="25" t="str">
        <f t="shared" si="10"/>
        <v/>
      </c>
      <c r="K334" s="25" t="str">
        <f t="shared" si="11"/>
        <v/>
      </c>
      <c r="L334" s="22"/>
      <c r="M334" s="23"/>
      <c r="N334" s="20"/>
      <c r="O334" s="16"/>
    </row>
    <row r="335" spans="1:15" s="6" customFormat="1" ht="14.1" customHeight="1">
      <c r="A335" s="132"/>
      <c r="B335" s="133"/>
      <c r="C335" s="43"/>
      <c r="D335" s="43"/>
      <c r="E335" s="43"/>
      <c r="F335" s="22"/>
      <c r="G335" s="43"/>
      <c r="H335" s="43"/>
      <c r="I335" s="23"/>
      <c r="J335" s="25" t="str">
        <f t="shared" si="10"/>
        <v/>
      </c>
      <c r="K335" s="25" t="str">
        <f t="shared" si="11"/>
        <v/>
      </c>
      <c r="L335" s="22"/>
      <c r="M335" s="23"/>
      <c r="N335" s="20"/>
      <c r="O335" s="16"/>
    </row>
    <row r="336" spans="1:15" s="6" customFormat="1" ht="14.1" customHeight="1">
      <c r="A336" s="132"/>
      <c r="B336" s="133"/>
      <c r="C336" s="43"/>
      <c r="D336" s="43"/>
      <c r="E336" s="43"/>
      <c r="F336" s="22"/>
      <c r="G336" s="43"/>
      <c r="H336" s="43"/>
      <c r="I336" s="23"/>
      <c r="J336" s="25" t="str">
        <f t="shared" si="10"/>
        <v/>
      </c>
      <c r="K336" s="25" t="str">
        <f t="shared" si="11"/>
        <v/>
      </c>
      <c r="L336" s="22"/>
      <c r="M336" s="23"/>
      <c r="N336" s="20"/>
      <c r="O336" s="16"/>
    </row>
    <row r="337" spans="1:15" s="6" customFormat="1" ht="14.1" customHeight="1">
      <c r="A337" s="132"/>
      <c r="B337" s="133"/>
      <c r="C337" s="43"/>
      <c r="D337" s="43"/>
      <c r="E337" s="43"/>
      <c r="F337" s="22"/>
      <c r="G337" s="43"/>
      <c r="H337" s="43"/>
      <c r="I337" s="23"/>
      <c r="J337" s="25" t="str">
        <f t="shared" si="10"/>
        <v/>
      </c>
      <c r="K337" s="25" t="str">
        <f t="shared" si="11"/>
        <v/>
      </c>
      <c r="L337" s="22"/>
      <c r="M337" s="23"/>
      <c r="N337" s="20"/>
      <c r="O337" s="16"/>
    </row>
    <row r="338" spans="1:15" s="6" customFormat="1" ht="14.1" customHeight="1">
      <c r="A338" s="132"/>
      <c r="B338" s="133"/>
      <c r="C338" s="43"/>
      <c r="D338" s="43"/>
      <c r="E338" s="43"/>
      <c r="F338" s="22"/>
      <c r="G338" s="43"/>
      <c r="H338" s="43"/>
      <c r="I338" s="23"/>
      <c r="J338" s="25" t="str">
        <f t="shared" si="10"/>
        <v/>
      </c>
      <c r="K338" s="25" t="str">
        <f t="shared" si="11"/>
        <v/>
      </c>
      <c r="L338" s="22"/>
      <c r="M338" s="23"/>
      <c r="N338" s="20"/>
      <c r="O338" s="16"/>
    </row>
    <row r="339" spans="1:15" s="6" customFormat="1" ht="14.1" customHeight="1">
      <c r="A339" s="132"/>
      <c r="B339" s="133"/>
      <c r="C339" s="43"/>
      <c r="D339" s="43"/>
      <c r="E339" s="43"/>
      <c r="F339" s="22"/>
      <c r="G339" s="43"/>
      <c r="H339" s="43"/>
      <c r="I339" s="23"/>
      <c r="J339" s="25" t="str">
        <f t="shared" si="10"/>
        <v/>
      </c>
      <c r="K339" s="25" t="str">
        <f t="shared" si="11"/>
        <v/>
      </c>
      <c r="L339" s="22"/>
      <c r="M339" s="23"/>
      <c r="N339" s="20"/>
      <c r="O339" s="16"/>
    </row>
    <row r="340" spans="1:15" s="6" customFormat="1" ht="14.1" customHeight="1">
      <c r="A340" s="132"/>
      <c r="B340" s="133"/>
      <c r="C340" s="43"/>
      <c r="D340" s="43"/>
      <c r="E340" s="43"/>
      <c r="F340" s="22"/>
      <c r="G340" s="43"/>
      <c r="H340" s="43"/>
      <c r="I340" s="23"/>
      <c r="J340" s="25" t="str">
        <f t="shared" si="10"/>
        <v/>
      </c>
      <c r="K340" s="25" t="str">
        <f t="shared" si="11"/>
        <v/>
      </c>
      <c r="L340" s="22"/>
      <c r="M340" s="23"/>
      <c r="N340" s="20"/>
      <c r="O340" s="16"/>
    </row>
    <row r="341" spans="1:15" s="6" customFormat="1" ht="14.1" customHeight="1">
      <c r="A341" s="132"/>
      <c r="B341" s="133"/>
      <c r="C341" s="43"/>
      <c r="D341" s="43"/>
      <c r="E341" s="43"/>
      <c r="F341" s="22"/>
      <c r="G341" s="43"/>
      <c r="H341" s="43"/>
      <c r="I341" s="23"/>
      <c r="J341" s="25" t="str">
        <f t="shared" si="10"/>
        <v/>
      </c>
      <c r="K341" s="25" t="str">
        <f t="shared" si="11"/>
        <v/>
      </c>
      <c r="L341" s="22"/>
      <c r="M341" s="23"/>
      <c r="N341" s="20"/>
      <c r="O341" s="16"/>
    </row>
    <row r="342" spans="1:15" s="6" customFormat="1" ht="14.1" customHeight="1">
      <c r="A342" s="132"/>
      <c r="B342" s="133"/>
      <c r="C342" s="43"/>
      <c r="D342" s="43"/>
      <c r="E342" s="43"/>
      <c r="F342" s="22"/>
      <c r="G342" s="43"/>
      <c r="H342" s="43"/>
      <c r="I342" s="23"/>
      <c r="J342" s="25" t="str">
        <f t="shared" si="10"/>
        <v/>
      </c>
      <c r="K342" s="25" t="str">
        <f t="shared" si="11"/>
        <v/>
      </c>
      <c r="L342" s="22"/>
      <c r="M342" s="23"/>
      <c r="N342" s="20"/>
      <c r="O342" s="16"/>
    </row>
    <row r="343" spans="1:15" s="6" customFormat="1" ht="14.1" customHeight="1">
      <c r="A343" s="132"/>
      <c r="B343" s="133"/>
      <c r="C343" s="43"/>
      <c r="D343" s="43"/>
      <c r="E343" s="43"/>
      <c r="F343" s="22"/>
      <c r="G343" s="43"/>
      <c r="H343" s="43"/>
      <c r="I343" s="23"/>
      <c r="J343" s="25" t="str">
        <f t="shared" si="10"/>
        <v/>
      </c>
      <c r="K343" s="25" t="str">
        <f t="shared" si="11"/>
        <v/>
      </c>
      <c r="L343" s="22"/>
      <c r="M343" s="23"/>
      <c r="N343" s="20"/>
      <c r="O343" s="16"/>
    </row>
    <row r="344" spans="1:15" s="6" customFormat="1" ht="14.1" customHeight="1">
      <c r="A344" s="132"/>
      <c r="B344" s="133"/>
      <c r="C344" s="43"/>
      <c r="D344" s="43"/>
      <c r="E344" s="43"/>
      <c r="F344" s="22"/>
      <c r="G344" s="43"/>
      <c r="H344" s="43"/>
      <c r="I344" s="23"/>
      <c r="J344" s="25" t="str">
        <f t="shared" si="10"/>
        <v/>
      </c>
      <c r="K344" s="25" t="str">
        <f t="shared" si="11"/>
        <v/>
      </c>
      <c r="L344" s="22"/>
      <c r="M344" s="23"/>
      <c r="N344" s="20"/>
      <c r="O344" s="16"/>
    </row>
    <row r="345" spans="1:15" s="6" customFormat="1" ht="14.1" customHeight="1">
      <c r="A345" s="132"/>
      <c r="B345" s="133"/>
      <c r="C345" s="43"/>
      <c r="D345" s="43"/>
      <c r="E345" s="43"/>
      <c r="F345" s="22"/>
      <c r="G345" s="43"/>
      <c r="H345" s="43"/>
      <c r="I345" s="23"/>
      <c r="J345" s="25" t="str">
        <f t="shared" si="10"/>
        <v/>
      </c>
      <c r="K345" s="25" t="str">
        <f t="shared" si="11"/>
        <v/>
      </c>
      <c r="L345" s="22"/>
      <c r="M345" s="23"/>
      <c r="N345" s="20"/>
      <c r="O345" s="16"/>
    </row>
    <row r="346" spans="1:15" s="6" customFormat="1" ht="14.1" customHeight="1">
      <c r="A346" s="132"/>
      <c r="B346" s="133"/>
      <c r="C346" s="43"/>
      <c r="D346" s="43"/>
      <c r="E346" s="43"/>
      <c r="F346" s="22"/>
      <c r="G346" s="43"/>
      <c r="H346" s="43"/>
      <c r="I346" s="23"/>
      <c r="J346" s="25" t="str">
        <f t="shared" si="10"/>
        <v/>
      </c>
      <c r="K346" s="25" t="str">
        <f t="shared" si="11"/>
        <v/>
      </c>
      <c r="L346" s="22"/>
      <c r="M346" s="23"/>
      <c r="N346" s="20"/>
      <c r="O346" s="16"/>
    </row>
    <row r="347" spans="1:15" s="6" customFormat="1" ht="14.1" customHeight="1">
      <c r="A347" s="132"/>
      <c r="B347" s="133"/>
      <c r="C347" s="43"/>
      <c r="D347" s="43"/>
      <c r="E347" s="43"/>
      <c r="F347" s="22"/>
      <c r="G347" s="43"/>
      <c r="H347" s="43"/>
      <c r="I347" s="23"/>
      <c r="J347" s="25" t="str">
        <f t="shared" si="10"/>
        <v/>
      </c>
      <c r="K347" s="25" t="str">
        <f t="shared" si="11"/>
        <v/>
      </c>
      <c r="L347" s="22"/>
      <c r="M347" s="23"/>
      <c r="N347" s="20"/>
      <c r="O347" s="16"/>
    </row>
    <row r="348" spans="1:15" s="6" customFormat="1" ht="14.1" customHeight="1">
      <c r="A348" s="132"/>
      <c r="B348" s="133"/>
      <c r="C348" s="43"/>
      <c r="D348" s="43"/>
      <c r="E348" s="43"/>
      <c r="F348" s="22"/>
      <c r="G348" s="43"/>
      <c r="H348" s="43"/>
      <c r="I348" s="23"/>
      <c r="J348" s="25" t="str">
        <f t="shared" si="10"/>
        <v/>
      </c>
      <c r="K348" s="25" t="str">
        <f t="shared" si="11"/>
        <v/>
      </c>
      <c r="L348" s="22"/>
      <c r="M348" s="23"/>
      <c r="N348" s="20"/>
      <c r="O348" s="16"/>
    </row>
    <row r="349" spans="1:15" s="6" customFormat="1" ht="14.1" customHeight="1">
      <c r="A349" s="132"/>
      <c r="B349" s="133"/>
      <c r="C349" s="43"/>
      <c r="D349" s="43"/>
      <c r="E349" s="43"/>
      <c r="F349" s="22"/>
      <c r="G349" s="43"/>
      <c r="H349" s="43"/>
      <c r="I349" s="23"/>
      <c r="J349" s="25" t="str">
        <f t="shared" si="10"/>
        <v/>
      </c>
      <c r="K349" s="25" t="str">
        <f t="shared" si="11"/>
        <v/>
      </c>
      <c r="L349" s="22"/>
      <c r="M349" s="23"/>
      <c r="N349" s="20"/>
      <c r="O349" s="16"/>
    </row>
    <row r="350" spans="1:15" s="6" customFormat="1" ht="14.1" customHeight="1">
      <c r="A350" s="132"/>
      <c r="B350" s="133"/>
      <c r="C350" s="43"/>
      <c r="D350" s="43"/>
      <c r="E350" s="43"/>
      <c r="F350" s="22"/>
      <c r="G350" s="43"/>
      <c r="H350" s="43"/>
      <c r="I350" s="23"/>
      <c r="J350" s="25" t="str">
        <f t="shared" si="10"/>
        <v/>
      </c>
      <c r="K350" s="25" t="str">
        <f t="shared" si="11"/>
        <v/>
      </c>
      <c r="L350" s="22"/>
      <c r="M350" s="23"/>
      <c r="N350" s="20"/>
      <c r="O350" s="16"/>
    </row>
    <row r="351" spans="1:15" s="6" customFormat="1" ht="14.1" customHeight="1">
      <c r="A351" s="132"/>
      <c r="B351" s="133"/>
      <c r="C351" s="43"/>
      <c r="D351" s="43"/>
      <c r="E351" s="43"/>
      <c r="F351" s="22"/>
      <c r="G351" s="43"/>
      <c r="H351" s="43"/>
      <c r="I351" s="23"/>
      <c r="J351" s="25" t="str">
        <f t="shared" si="10"/>
        <v/>
      </c>
      <c r="K351" s="25" t="str">
        <f t="shared" si="11"/>
        <v/>
      </c>
      <c r="L351" s="22"/>
      <c r="M351" s="23"/>
      <c r="N351" s="20"/>
      <c r="O351" s="16"/>
    </row>
    <row r="352" spans="1:15" s="6" customFormat="1" ht="14.1" customHeight="1">
      <c r="A352" s="132"/>
      <c r="B352" s="133"/>
      <c r="C352" s="43"/>
      <c r="D352" s="43"/>
      <c r="E352" s="43"/>
      <c r="F352" s="22"/>
      <c r="G352" s="43"/>
      <c r="H352" s="43"/>
      <c r="I352" s="23"/>
      <c r="J352" s="25" t="str">
        <f t="shared" si="10"/>
        <v/>
      </c>
      <c r="K352" s="25" t="str">
        <f t="shared" si="11"/>
        <v/>
      </c>
      <c r="L352" s="22"/>
      <c r="M352" s="23"/>
      <c r="N352" s="20"/>
      <c r="O352" s="16"/>
    </row>
    <row r="353" spans="1:15" s="6" customFormat="1" ht="14.1" customHeight="1">
      <c r="A353" s="132"/>
      <c r="B353" s="133"/>
      <c r="C353" s="43"/>
      <c r="D353" s="43"/>
      <c r="E353" s="43"/>
      <c r="F353" s="22"/>
      <c r="G353" s="43"/>
      <c r="H353" s="43"/>
      <c r="I353" s="23"/>
      <c r="J353" s="25" t="str">
        <f t="shared" si="10"/>
        <v/>
      </c>
      <c r="K353" s="25" t="str">
        <f t="shared" si="11"/>
        <v/>
      </c>
      <c r="L353" s="22"/>
      <c r="M353" s="23"/>
      <c r="N353" s="20"/>
      <c r="O353" s="16"/>
    </row>
    <row r="354" spans="1:15" s="6" customFormat="1" ht="14.1" customHeight="1">
      <c r="A354" s="132"/>
      <c r="B354" s="133"/>
      <c r="C354" s="43"/>
      <c r="D354" s="43"/>
      <c r="E354" s="43"/>
      <c r="F354" s="22"/>
      <c r="G354" s="43"/>
      <c r="H354" s="43"/>
      <c r="I354" s="23"/>
      <c r="J354" s="25" t="str">
        <f t="shared" si="10"/>
        <v/>
      </c>
      <c r="K354" s="25" t="str">
        <f t="shared" si="11"/>
        <v/>
      </c>
      <c r="L354" s="22"/>
      <c r="M354" s="23"/>
      <c r="N354" s="20"/>
      <c r="O354" s="16"/>
    </row>
    <row r="355" spans="1:15" s="6" customFormat="1" ht="14.1" customHeight="1">
      <c r="A355" s="132"/>
      <c r="B355" s="133"/>
      <c r="C355" s="43"/>
      <c r="D355" s="43"/>
      <c r="E355" s="43"/>
      <c r="F355" s="22"/>
      <c r="G355" s="43"/>
      <c r="H355" s="43"/>
      <c r="I355" s="23"/>
      <c r="J355" s="25" t="str">
        <f t="shared" si="10"/>
        <v/>
      </c>
      <c r="K355" s="25" t="str">
        <f t="shared" si="11"/>
        <v/>
      </c>
      <c r="L355" s="22"/>
      <c r="M355" s="23"/>
      <c r="N355" s="20"/>
      <c r="O355" s="16"/>
    </row>
    <row r="356" spans="1:15" s="6" customFormat="1" ht="14.1" customHeight="1">
      <c r="A356" s="132"/>
      <c r="B356" s="133"/>
      <c r="C356" s="43"/>
      <c r="D356" s="43"/>
      <c r="E356" s="43"/>
      <c r="F356" s="22"/>
      <c r="G356" s="43"/>
      <c r="H356" s="43"/>
      <c r="I356" s="23"/>
      <c r="J356" s="25" t="str">
        <f t="shared" si="10"/>
        <v/>
      </c>
      <c r="K356" s="25" t="str">
        <f t="shared" si="11"/>
        <v/>
      </c>
      <c r="L356" s="22"/>
      <c r="M356" s="23"/>
      <c r="N356" s="20"/>
      <c r="O356" s="16"/>
    </row>
    <row r="357" spans="1:15" s="6" customFormat="1" ht="14.1" customHeight="1">
      <c r="A357" s="132"/>
      <c r="B357" s="133"/>
      <c r="C357" s="43"/>
      <c r="D357" s="43"/>
      <c r="E357" s="43"/>
      <c r="F357" s="22"/>
      <c r="G357" s="43"/>
      <c r="H357" s="43"/>
      <c r="I357" s="23"/>
      <c r="J357" s="25" t="str">
        <f t="shared" si="10"/>
        <v/>
      </c>
      <c r="K357" s="25" t="str">
        <f t="shared" si="11"/>
        <v/>
      </c>
      <c r="L357" s="22"/>
      <c r="M357" s="23"/>
      <c r="N357" s="20"/>
      <c r="O357" s="16"/>
    </row>
    <row r="358" spans="1:15" s="6" customFormat="1" ht="14.1" customHeight="1">
      <c r="A358" s="132"/>
      <c r="B358" s="133"/>
      <c r="C358" s="43"/>
      <c r="D358" s="43"/>
      <c r="E358" s="43"/>
      <c r="F358" s="22"/>
      <c r="G358" s="43"/>
      <c r="H358" s="43"/>
      <c r="I358" s="23"/>
      <c r="J358" s="25" t="str">
        <f t="shared" si="10"/>
        <v/>
      </c>
      <c r="K358" s="25" t="str">
        <f t="shared" si="11"/>
        <v/>
      </c>
      <c r="L358" s="22"/>
      <c r="M358" s="23"/>
      <c r="N358" s="20"/>
      <c r="O358" s="16"/>
    </row>
    <row r="359" spans="1:15" s="6" customFormat="1" ht="14.1" customHeight="1">
      <c r="A359" s="132"/>
      <c r="B359" s="133"/>
      <c r="C359" s="43"/>
      <c r="D359" s="43"/>
      <c r="E359" s="43"/>
      <c r="F359" s="22"/>
      <c r="G359" s="43"/>
      <c r="H359" s="43"/>
      <c r="I359" s="23"/>
      <c r="J359" s="25" t="str">
        <f t="shared" si="10"/>
        <v/>
      </c>
      <c r="K359" s="25" t="str">
        <f t="shared" si="11"/>
        <v/>
      </c>
      <c r="L359" s="22"/>
      <c r="M359" s="23"/>
      <c r="N359" s="20"/>
      <c r="O359" s="16"/>
    </row>
    <row r="360" spans="1:15" s="6" customFormat="1" ht="14.1" customHeight="1">
      <c r="A360" s="132"/>
      <c r="B360" s="133"/>
      <c r="C360" s="43"/>
      <c r="D360" s="43"/>
      <c r="E360" s="43"/>
      <c r="F360" s="22"/>
      <c r="G360" s="43"/>
      <c r="H360" s="43"/>
      <c r="I360" s="23"/>
      <c r="J360" s="25" t="str">
        <f t="shared" si="10"/>
        <v/>
      </c>
      <c r="K360" s="25" t="str">
        <f t="shared" si="11"/>
        <v/>
      </c>
      <c r="L360" s="22"/>
      <c r="M360" s="23"/>
      <c r="N360" s="20"/>
      <c r="O360" s="16"/>
    </row>
    <row r="361" spans="1:15" s="6" customFormat="1" ht="14.1" customHeight="1">
      <c r="A361" s="132"/>
      <c r="B361" s="133"/>
      <c r="C361" s="43"/>
      <c r="D361" s="43"/>
      <c r="E361" s="43"/>
      <c r="F361" s="22"/>
      <c r="G361" s="43"/>
      <c r="H361" s="43"/>
      <c r="I361" s="23"/>
      <c r="J361" s="25" t="str">
        <f t="shared" si="10"/>
        <v/>
      </c>
      <c r="K361" s="25" t="str">
        <f t="shared" si="11"/>
        <v/>
      </c>
      <c r="L361" s="22"/>
      <c r="M361" s="23"/>
      <c r="N361" s="20"/>
      <c r="O361" s="16"/>
    </row>
    <row r="362" spans="1:15" s="6" customFormat="1" ht="14.1" customHeight="1">
      <c r="A362" s="132"/>
      <c r="B362" s="133"/>
      <c r="C362" s="43"/>
      <c r="D362" s="43"/>
      <c r="E362" s="43"/>
      <c r="F362" s="22"/>
      <c r="G362" s="43"/>
      <c r="H362" s="43"/>
      <c r="I362" s="23"/>
      <c r="J362" s="25" t="str">
        <f t="shared" si="10"/>
        <v/>
      </c>
      <c r="K362" s="25" t="str">
        <f t="shared" si="11"/>
        <v/>
      </c>
      <c r="L362" s="22"/>
      <c r="M362" s="23"/>
      <c r="N362" s="20"/>
      <c r="O362" s="16"/>
    </row>
    <row r="363" spans="1:15" s="6" customFormat="1" ht="14.1" customHeight="1">
      <c r="A363" s="132"/>
      <c r="B363" s="133"/>
      <c r="C363" s="43"/>
      <c r="D363" s="43"/>
      <c r="E363" s="43"/>
      <c r="F363" s="22"/>
      <c r="G363" s="43"/>
      <c r="H363" s="43"/>
      <c r="I363" s="23"/>
      <c r="J363" s="25" t="str">
        <f t="shared" si="10"/>
        <v/>
      </c>
      <c r="K363" s="25" t="str">
        <f t="shared" si="11"/>
        <v/>
      </c>
      <c r="L363" s="22"/>
      <c r="M363" s="23"/>
      <c r="N363" s="20"/>
      <c r="O363" s="16"/>
    </row>
    <row r="364" spans="1:15" s="6" customFormat="1" ht="14.1" customHeight="1">
      <c r="A364" s="132"/>
      <c r="B364" s="133"/>
      <c r="C364" s="43"/>
      <c r="D364" s="43"/>
      <c r="E364" s="43"/>
      <c r="F364" s="22"/>
      <c r="G364" s="43"/>
      <c r="H364" s="43"/>
      <c r="I364" s="23"/>
      <c r="J364" s="25" t="str">
        <f t="shared" si="10"/>
        <v/>
      </c>
      <c r="K364" s="25" t="str">
        <f t="shared" si="11"/>
        <v/>
      </c>
      <c r="L364" s="22"/>
      <c r="M364" s="23"/>
      <c r="N364" s="20"/>
      <c r="O364" s="16"/>
    </row>
    <row r="365" spans="1:15" s="6" customFormat="1" ht="14.1" customHeight="1">
      <c r="A365" s="132"/>
      <c r="B365" s="133"/>
      <c r="C365" s="43"/>
      <c r="D365" s="43"/>
      <c r="E365" s="43"/>
      <c r="F365" s="22"/>
      <c r="G365" s="43"/>
      <c r="H365" s="43"/>
      <c r="I365" s="23"/>
      <c r="J365" s="25" t="str">
        <f t="shared" si="10"/>
        <v/>
      </c>
      <c r="K365" s="25" t="str">
        <f t="shared" si="11"/>
        <v/>
      </c>
      <c r="L365" s="22"/>
      <c r="M365" s="23"/>
      <c r="N365" s="20"/>
      <c r="O365" s="16"/>
    </row>
    <row r="366" spans="1:15" s="6" customFormat="1" ht="14.1" customHeight="1">
      <c r="A366" s="132"/>
      <c r="B366" s="133"/>
      <c r="C366" s="43"/>
      <c r="D366" s="43"/>
      <c r="E366" s="43"/>
      <c r="F366" s="22"/>
      <c r="G366" s="43"/>
      <c r="H366" s="43"/>
      <c r="I366" s="23"/>
      <c r="J366" s="25" t="str">
        <f t="shared" si="10"/>
        <v/>
      </c>
      <c r="K366" s="25" t="str">
        <f t="shared" si="11"/>
        <v/>
      </c>
      <c r="L366" s="22"/>
      <c r="M366" s="23"/>
      <c r="N366" s="20"/>
      <c r="O366" s="16"/>
    </row>
    <row r="367" spans="1:15" s="6" customFormat="1" ht="14.1" customHeight="1">
      <c r="A367" s="132"/>
      <c r="B367" s="133"/>
      <c r="C367" s="43"/>
      <c r="D367" s="43"/>
      <c r="E367" s="43"/>
      <c r="F367" s="22"/>
      <c r="G367" s="43"/>
      <c r="H367" s="43"/>
      <c r="I367" s="23"/>
      <c r="J367" s="25" t="str">
        <f t="shared" si="10"/>
        <v/>
      </c>
      <c r="K367" s="25" t="str">
        <f t="shared" si="11"/>
        <v/>
      </c>
      <c r="L367" s="22"/>
      <c r="M367" s="23"/>
      <c r="N367" s="20"/>
      <c r="O367" s="16"/>
    </row>
    <row r="368" spans="1:15" s="6" customFormat="1" ht="14.1" customHeight="1">
      <c r="A368" s="132"/>
      <c r="B368" s="133"/>
      <c r="C368" s="43"/>
      <c r="D368" s="43"/>
      <c r="E368" s="43"/>
      <c r="F368" s="22"/>
      <c r="G368" s="43"/>
      <c r="H368" s="43"/>
      <c r="I368" s="23"/>
      <c r="J368" s="25" t="str">
        <f t="shared" si="10"/>
        <v/>
      </c>
      <c r="K368" s="25" t="str">
        <f t="shared" si="11"/>
        <v/>
      </c>
      <c r="L368" s="22"/>
      <c r="M368" s="23"/>
      <c r="N368" s="20"/>
      <c r="O368" s="16"/>
    </row>
    <row r="369" spans="1:15" s="6" customFormat="1" ht="14.1" customHeight="1">
      <c r="A369" s="132"/>
      <c r="B369" s="133"/>
      <c r="C369" s="43"/>
      <c r="D369" s="43"/>
      <c r="E369" s="43"/>
      <c r="F369" s="22"/>
      <c r="G369" s="43"/>
      <c r="H369" s="43"/>
      <c r="I369" s="23"/>
      <c r="J369" s="25" t="str">
        <f t="shared" si="10"/>
        <v/>
      </c>
      <c r="K369" s="25" t="str">
        <f t="shared" si="11"/>
        <v/>
      </c>
      <c r="L369" s="22"/>
      <c r="M369" s="23"/>
      <c r="N369" s="20"/>
      <c r="O369" s="16"/>
    </row>
    <row r="370" spans="1:15" s="6" customFormat="1" ht="14.1" customHeight="1">
      <c r="A370" s="132"/>
      <c r="B370" s="133"/>
      <c r="C370" s="43"/>
      <c r="D370" s="43"/>
      <c r="E370" s="43"/>
      <c r="F370" s="22"/>
      <c r="G370" s="43"/>
      <c r="H370" s="43"/>
      <c r="I370" s="23"/>
      <c r="J370" s="25" t="str">
        <f t="shared" si="10"/>
        <v/>
      </c>
      <c r="K370" s="25" t="str">
        <f t="shared" si="11"/>
        <v/>
      </c>
      <c r="L370" s="22"/>
      <c r="M370" s="23"/>
      <c r="N370" s="20"/>
      <c r="O370" s="16"/>
    </row>
    <row r="371" spans="1:15" s="6" customFormat="1" ht="14.1" customHeight="1">
      <c r="A371" s="132"/>
      <c r="B371" s="133"/>
      <c r="C371" s="43"/>
      <c r="D371" s="43"/>
      <c r="E371" s="43"/>
      <c r="F371" s="22"/>
      <c r="G371" s="43"/>
      <c r="H371" s="43"/>
      <c r="I371" s="23"/>
      <c r="J371" s="25" t="str">
        <f t="shared" si="10"/>
        <v/>
      </c>
      <c r="K371" s="25" t="str">
        <f t="shared" si="11"/>
        <v/>
      </c>
      <c r="L371" s="22"/>
      <c r="M371" s="23"/>
      <c r="N371" s="20"/>
      <c r="O371" s="16"/>
    </row>
    <row r="372" spans="1:15" s="6" customFormat="1" ht="14.1" customHeight="1">
      <c r="A372" s="132"/>
      <c r="B372" s="133"/>
      <c r="C372" s="43"/>
      <c r="D372" s="43"/>
      <c r="E372" s="43"/>
      <c r="F372" s="22"/>
      <c r="G372" s="43"/>
      <c r="H372" s="43"/>
      <c r="I372" s="23"/>
      <c r="J372" s="25" t="str">
        <f t="shared" si="10"/>
        <v/>
      </c>
      <c r="K372" s="25" t="str">
        <f t="shared" si="11"/>
        <v/>
      </c>
      <c r="L372" s="22"/>
      <c r="M372" s="23"/>
      <c r="N372" s="20"/>
      <c r="O372" s="16"/>
    </row>
    <row r="373" spans="1:15" s="6" customFormat="1" ht="14.1" customHeight="1">
      <c r="A373" s="132"/>
      <c r="B373" s="133"/>
      <c r="C373" s="43"/>
      <c r="D373" s="43"/>
      <c r="E373" s="43"/>
      <c r="F373" s="22"/>
      <c r="G373" s="43"/>
      <c r="H373" s="43"/>
      <c r="I373" s="23"/>
      <c r="J373" s="25" t="str">
        <f t="shared" si="10"/>
        <v/>
      </c>
      <c r="K373" s="25" t="str">
        <f t="shared" si="11"/>
        <v/>
      </c>
      <c r="L373" s="22"/>
      <c r="M373" s="23"/>
      <c r="N373" s="20"/>
      <c r="O373" s="16"/>
    </row>
    <row r="374" spans="1:15" s="6" customFormat="1" ht="14.1" customHeight="1">
      <c r="A374" s="132"/>
      <c r="B374" s="133"/>
      <c r="C374" s="43"/>
      <c r="D374" s="43"/>
      <c r="E374" s="43"/>
      <c r="F374" s="22"/>
      <c r="G374" s="43"/>
      <c r="H374" s="43"/>
      <c r="I374" s="23"/>
      <c r="J374" s="25" t="str">
        <f t="shared" si="10"/>
        <v/>
      </c>
      <c r="K374" s="25" t="str">
        <f t="shared" si="11"/>
        <v/>
      </c>
      <c r="L374" s="22"/>
      <c r="M374" s="23"/>
      <c r="N374" s="20"/>
      <c r="O374" s="16"/>
    </row>
    <row r="375" spans="1:15" s="6" customFormat="1" ht="14.1" customHeight="1">
      <c r="A375" s="132"/>
      <c r="B375" s="133"/>
      <c r="C375" s="43"/>
      <c r="D375" s="43"/>
      <c r="E375" s="43"/>
      <c r="F375" s="22"/>
      <c r="G375" s="43"/>
      <c r="H375" s="43"/>
      <c r="I375" s="23"/>
      <c r="J375" s="25" t="str">
        <f t="shared" si="10"/>
        <v/>
      </c>
      <c r="K375" s="25" t="str">
        <f t="shared" si="11"/>
        <v/>
      </c>
      <c r="L375" s="22"/>
      <c r="M375" s="23"/>
      <c r="N375" s="20"/>
      <c r="O375" s="16"/>
    </row>
    <row r="376" spans="1:15" s="6" customFormat="1" ht="14.1" customHeight="1">
      <c r="A376" s="132"/>
      <c r="B376" s="133"/>
      <c r="C376" s="43"/>
      <c r="D376" s="43"/>
      <c r="E376" s="43"/>
      <c r="F376" s="22"/>
      <c r="G376" s="43"/>
      <c r="H376" s="43"/>
      <c r="I376" s="23"/>
      <c r="J376" s="25" t="str">
        <f t="shared" si="10"/>
        <v/>
      </c>
      <c r="K376" s="25" t="str">
        <f t="shared" si="11"/>
        <v/>
      </c>
      <c r="L376" s="22"/>
      <c r="M376" s="23"/>
      <c r="N376" s="20"/>
      <c r="O376" s="16"/>
    </row>
    <row r="377" spans="1:15" s="6" customFormat="1" ht="14.1" customHeight="1">
      <c r="A377" s="132"/>
      <c r="B377" s="133"/>
      <c r="C377" s="43"/>
      <c r="D377" s="43"/>
      <c r="E377" s="43"/>
      <c r="F377" s="22"/>
      <c r="G377" s="43"/>
      <c r="H377" s="43"/>
      <c r="I377" s="23"/>
      <c r="J377" s="25" t="str">
        <f t="shared" si="10"/>
        <v/>
      </c>
      <c r="K377" s="25" t="str">
        <f t="shared" si="11"/>
        <v/>
      </c>
      <c r="L377" s="22"/>
      <c r="M377" s="23"/>
      <c r="N377" s="20"/>
      <c r="O377" s="16"/>
    </row>
    <row r="378" spans="1:15" s="6" customFormat="1" ht="14.1" customHeight="1">
      <c r="A378" s="132"/>
      <c r="B378" s="133"/>
      <c r="C378" s="43"/>
      <c r="D378" s="43"/>
      <c r="E378" s="43"/>
      <c r="F378" s="22"/>
      <c r="G378" s="43"/>
      <c r="H378" s="43"/>
      <c r="I378" s="23"/>
      <c r="J378" s="25" t="str">
        <f t="shared" si="10"/>
        <v/>
      </c>
      <c r="K378" s="25" t="str">
        <f t="shared" si="11"/>
        <v/>
      </c>
      <c r="L378" s="22"/>
      <c r="M378" s="23"/>
      <c r="N378" s="20"/>
      <c r="O378" s="16"/>
    </row>
    <row r="379" spans="1:15" s="6" customFormat="1" ht="14.1" customHeight="1">
      <c r="A379" s="132"/>
      <c r="B379" s="133"/>
      <c r="C379" s="43"/>
      <c r="D379" s="43"/>
      <c r="E379" s="43"/>
      <c r="F379" s="22"/>
      <c r="G379" s="43"/>
      <c r="H379" s="43"/>
      <c r="I379" s="23"/>
      <c r="J379" s="25" t="str">
        <f t="shared" si="10"/>
        <v/>
      </c>
      <c r="K379" s="25" t="str">
        <f t="shared" si="11"/>
        <v/>
      </c>
      <c r="L379" s="22"/>
      <c r="M379" s="23"/>
      <c r="N379" s="20"/>
      <c r="O379" s="16"/>
    </row>
    <row r="380" spans="1:15" s="6" customFormat="1" ht="14.1" customHeight="1">
      <c r="A380" s="132"/>
      <c r="B380" s="133"/>
      <c r="C380" s="43"/>
      <c r="D380" s="43"/>
      <c r="E380" s="43"/>
      <c r="F380" s="22"/>
      <c r="G380" s="43"/>
      <c r="H380" s="43"/>
      <c r="I380" s="23"/>
      <c r="J380" s="25" t="str">
        <f t="shared" si="10"/>
        <v/>
      </c>
      <c r="K380" s="25" t="str">
        <f t="shared" si="11"/>
        <v/>
      </c>
      <c r="L380" s="22"/>
      <c r="M380" s="23"/>
      <c r="N380" s="20"/>
      <c r="O380" s="16"/>
    </row>
    <row r="381" spans="1:15" s="6" customFormat="1" ht="14.1" customHeight="1">
      <c r="A381" s="132"/>
      <c r="B381" s="133"/>
      <c r="C381" s="43"/>
      <c r="D381" s="43"/>
      <c r="E381" s="43"/>
      <c r="F381" s="22"/>
      <c r="G381" s="43"/>
      <c r="H381" s="43"/>
      <c r="I381" s="23"/>
      <c r="J381" s="25" t="str">
        <f t="shared" si="10"/>
        <v/>
      </c>
      <c r="K381" s="25" t="str">
        <f t="shared" si="11"/>
        <v/>
      </c>
      <c r="L381" s="22"/>
      <c r="M381" s="23"/>
      <c r="N381" s="20"/>
      <c r="O381" s="16"/>
    </row>
    <row r="382" spans="1:15" s="6" customFormat="1" ht="14.1" customHeight="1">
      <c r="A382" s="132"/>
      <c r="B382" s="133"/>
      <c r="C382" s="43"/>
      <c r="D382" s="43"/>
      <c r="E382" s="43"/>
      <c r="F382" s="22"/>
      <c r="G382" s="43"/>
      <c r="H382" s="43"/>
      <c r="I382" s="23"/>
      <c r="J382" s="25" t="str">
        <f t="shared" si="10"/>
        <v/>
      </c>
      <c r="K382" s="25" t="str">
        <f t="shared" si="11"/>
        <v/>
      </c>
      <c r="L382" s="22"/>
      <c r="M382" s="23"/>
      <c r="N382" s="20"/>
      <c r="O382" s="16"/>
    </row>
    <row r="383" spans="1:15" s="6" customFormat="1" ht="14.1" customHeight="1">
      <c r="A383" s="132"/>
      <c r="B383" s="133"/>
      <c r="C383" s="43"/>
      <c r="D383" s="43"/>
      <c r="E383" s="43"/>
      <c r="F383" s="22"/>
      <c r="G383" s="43"/>
      <c r="H383" s="43"/>
      <c r="I383" s="23"/>
      <c r="J383" s="25" t="str">
        <f t="shared" si="10"/>
        <v/>
      </c>
      <c r="K383" s="25" t="str">
        <f t="shared" si="11"/>
        <v/>
      </c>
      <c r="L383" s="22"/>
      <c r="M383" s="23"/>
      <c r="N383" s="20"/>
      <c r="O383" s="16"/>
    </row>
    <row r="384" spans="1:15" s="6" customFormat="1" ht="14.1" customHeight="1">
      <c r="A384" s="132"/>
      <c r="B384" s="133"/>
      <c r="C384" s="43"/>
      <c r="D384" s="43"/>
      <c r="E384" s="43"/>
      <c r="F384" s="22"/>
      <c r="G384" s="43"/>
      <c r="H384" s="43"/>
      <c r="I384" s="23"/>
      <c r="J384" s="25" t="str">
        <f t="shared" si="10"/>
        <v/>
      </c>
      <c r="K384" s="25" t="str">
        <f t="shared" si="11"/>
        <v/>
      </c>
      <c r="L384" s="22"/>
      <c r="M384" s="23"/>
      <c r="N384" s="20"/>
      <c r="O384" s="16"/>
    </row>
    <row r="385" spans="1:15" s="6" customFormat="1" ht="14.1" customHeight="1">
      <c r="A385" s="132"/>
      <c r="B385" s="133"/>
      <c r="C385" s="43"/>
      <c r="D385" s="43"/>
      <c r="E385" s="43"/>
      <c r="F385" s="22"/>
      <c r="G385" s="43"/>
      <c r="H385" s="43"/>
      <c r="I385" s="23"/>
      <c r="J385" s="25" t="str">
        <f t="shared" si="10"/>
        <v/>
      </c>
      <c r="K385" s="25" t="str">
        <f t="shared" si="11"/>
        <v/>
      </c>
      <c r="L385" s="22"/>
      <c r="M385" s="23"/>
      <c r="N385" s="20"/>
      <c r="O385" s="16"/>
    </row>
    <row r="386" spans="1:15" s="6" customFormat="1" ht="14.1" customHeight="1">
      <c r="A386" s="132"/>
      <c r="B386" s="133"/>
      <c r="C386" s="43"/>
      <c r="D386" s="43"/>
      <c r="E386" s="43"/>
      <c r="F386" s="22"/>
      <c r="G386" s="43"/>
      <c r="H386" s="43"/>
      <c r="I386" s="23"/>
      <c r="J386" s="25" t="str">
        <f t="shared" si="10"/>
        <v/>
      </c>
      <c r="K386" s="25" t="str">
        <f t="shared" si="11"/>
        <v/>
      </c>
      <c r="L386" s="22"/>
      <c r="M386" s="23"/>
      <c r="N386" s="20"/>
      <c r="O386" s="16"/>
    </row>
    <row r="387" spans="1:15" s="6" customFormat="1" ht="14.1" customHeight="1">
      <c r="A387" s="132"/>
      <c r="B387" s="133"/>
      <c r="C387" s="43"/>
      <c r="D387" s="43"/>
      <c r="E387" s="43"/>
      <c r="F387" s="22"/>
      <c r="G387" s="43"/>
      <c r="H387" s="43"/>
      <c r="I387" s="23"/>
      <c r="J387" s="25" t="str">
        <f t="shared" si="10"/>
        <v/>
      </c>
      <c r="K387" s="25" t="str">
        <f t="shared" si="11"/>
        <v/>
      </c>
      <c r="L387" s="22"/>
      <c r="M387" s="23"/>
      <c r="N387" s="20"/>
      <c r="O387" s="16"/>
    </row>
    <row r="388" spans="1:15" s="6" customFormat="1" ht="14.1" customHeight="1">
      <c r="A388" s="132"/>
      <c r="B388" s="133"/>
      <c r="C388" s="43"/>
      <c r="D388" s="43"/>
      <c r="E388" s="43"/>
      <c r="F388" s="22"/>
      <c r="G388" s="43"/>
      <c r="H388" s="43"/>
      <c r="I388" s="23"/>
      <c r="J388" s="25" t="str">
        <f t="shared" si="10"/>
        <v/>
      </c>
      <c r="K388" s="25" t="str">
        <f t="shared" si="11"/>
        <v/>
      </c>
      <c r="L388" s="22"/>
      <c r="M388" s="23"/>
      <c r="N388" s="20"/>
      <c r="O388" s="16"/>
    </row>
    <row r="389" spans="1:15" s="6" customFormat="1" ht="14.1" customHeight="1">
      <c r="A389" s="132"/>
      <c r="B389" s="133"/>
      <c r="C389" s="43"/>
      <c r="D389" s="43"/>
      <c r="E389" s="43"/>
      <c r="F389" s="22"/>
      <c r="G389" s="43"/>
      <c r="H389" s="43"/>
      <c r="I389" s="23"/>
      <c r="J389" s="25" t="str">
        <f t="shared" si="10"/>
        <v/>
      </c>
      <c r="K389" s="25" t="str">
        <f t="shared" si="11"/>
        <v/>
      </c>
      <c r="L389" s="22"/>
      <c r="M389" s="23"/>
      <c r="N389" s="20"/>
      <c r="O389" s="16"/>
    </row>
    <row r="390" spans="1:15" s="6" customFormat="1" ht="14.1" customHeight="1">
      <c r="A390" s="132"/>
      <c r="B390" s="133"/>
      <c r="C390" s="43"/>
      <c r="D390" s="43"/>
      <c r="E390" s="43"/>
      <c r="F390" s="22"/>
      <c r="G390" s="43"/>
      <c r="H390" s="43"/>
      <c r="I390" s="23"/>
      <c r="J390" s="25" t="str">
        <f t="shared" si="10"/>
        <v/>
      </c>
      <c r="K390" s="25" t="str">
        <f t="shared" si="11"/>
        <v/>
      </c>
      <c r="L390" s="22"/>
      <c r="M390" s="23"/>
      <c r="N390" s="20"/>
      <c r="O390" s="16"/>
    </row>
    <row r="391" spans="1:15" s="6" customFormat="1" ht="14.1" customHeight="1">
      <c r="A391" s="132"/>
      <c r="B391" s="133"/>
      <c r="C391" s="43"/>
      <c r="D391" s="43"/>
      <c r="E391" s="43"/>
      <c r="F391" s="22"/>
      <c r="G391" s="43"/>
      <c r="H391" s="43"/>
      <c r="I391" s="23"/>
      <c r="J391" s="25" t="str">
        <f t="shared" si="10"/>
        <v/>
      </c>
      <c r="K391" s="25" t="str">
        <f t="shared" si="11"/>
        <v/>
      </c>
      <c r="L391" s="22"/>
      <c r="M391" s="23"/>
      <c r="N391" s="20"/>
      <c r="O391" s="16"/>
    </row>
    <row r="392" spans="1:15" s="6" customFormat="1" ht="14.1" customHeight="1">
      <c r="A392" s="132"/>
      <c r="B392" s="133"/>
      <c r="C392" s="43"/>
      <c r="D392" s="43"/>
      <c r="E392" s="43"/>
      <c r="F392" s="22"/>
      <c r="G392" s="43"/>
      <c r="H392" s="43"/>
      <c r="I392" s="23"/>
      <c r="J392" s="25" t="str">
        <f t="shared" si="10"/>
        <v/>
      </c>
      <c r="K392" s="25" t="str">
        <f t="shared" si="11"/>
        <v/>
      </c>
      <c r="L392" s="22"/>
      <c r="M392" s="23"/>
      <c r="N392" s="20"/>
      <c r="O392" s="16"/>
    </row>
    <row r="393" spans="1:15" s="6" customFormat="1" ht="14.1" customHeight="1">
      <c r="A393" s="132"/>
      <c r="B393" s="133"/>
      <c r="C393" s="43"/>
      <c r="D393" s="43"/>
      <c r="E393" s="43"/>
      <c r="F393" s="22"/>
      <c r="G393" s="43"/>
      <c r="H393" s="43"/>
      <c r="I393" s="23"/>
      <c r="J393" s="25" t="str">
        <f t="shared" si="10"/>
        <v/>
      </c>
      <c r="K393" s="25" t="str">
        <f t="shared" si="11"/>
        <v/>
      </c>
      <c r="L393" s="22"/>
      <c r="M393" s="23"/>
      <c r="N393" s="20"/>
      <c r="O393" s="16"/>
    </row>
    <row r="394" spans="1:15" s="6" customFormat="1" ht="14.1" customHeight="1">
      <c r="A394" s="132"/>
      <c r="B394" s="133"/>
      <c r="C394" s="43"/>
      <c r="D394" s="43"/>
      <c r="E394" s="43"/>
      <c r="F394" s="22"/>
      <c r="G394" s="43"/>
      <c r="H394" s="43"/>
      <c r="I394" s="23"/>
      <c r="J394" s="25" t="str">
        <f t="shared" si="10"/>
        <v/>
      </c>
      <c r="K394" s="25" t="str">
        <f t="shared" si="11"/>
        <v/>
      </c>
      <c r="L394" s="22"/>
      <c r="M394" s="23"/>
      <c r="N394" s="20"/>
      <c r="O394" s="16"/>
    </row>
    <row r="395" spans="1:15" s="6" customFormat="1" ht="14.1" customHeight="1">
      <c r="A395" s="132"/>
      <c r="B395" s="133"/>
      <c r="C395" s="43"/>
      <c r="D395" s="43"/>
      <c r="E395" s="43"/>
      <c r="F395" s="22"/>
      <c r="G395" s="43"/>
      <c r="H395" s="43"/>
      <c r="I395" s="23"/>
      <c r="J395" s="25" t="str">
        <f t="shared" si="10"/>
        <v/>
      </c>
      <c r="K395" s="25" t="str">
        <f t="shared" si="11"/>
        <v/>
      </c>
      <c r="L395" s="22"/>
      <c r="M395" s="23"/>
      <c r="N395" s="20"/>
      <c r="O395" s="16"/>
    </row>
    <row r="396" spans="1:15" s="6" customFormat="1" ht="14.1" customHeight="1">
      <c r="A396" s="132"/>
      <c r="B396" s="133"/>
      <c r="C396" s="43"/>
      <c r="D396" s="43"/>
      <c r="E396" s="43"/>
      <c r="F396" s="22"/>
      <c r="G396" s="43"/>
      <c r="H396" s="43"/>
      <c r="I396" s="23"/>
      <c r="J396" s="25" t="str">
        <f t="shared" si="10"/>
        <v/>
      </c>
      <c r="K396" s="25" t="str">
        <f t="shared" si="11"/>
        <v/>
      </c>
      <c r="L396" s="22"/>
      <c r="M396" s="23"/>
      <c r="N396" s="20"/>
      <c r="O396" s="16"/>
    </row>
    <row r="397" spans="1:15" s="6" customFormat="1" ht="14.1" customHeight="1">
      <c r="A397" s="132"/>
      <c r="B397" s="133"/>
      <c r="C397" s="43"/>
      <c r="D397" s="43"/>
      <c r="E397" s="43"/>
      <c r="F397" s="22"/>
      <c r="G397" s="43"/>
      <c r="H397" s="43"/>
      <c r="I397" s="23"/>
      <c r="J397" s="25" t="str">
        <f t="shared" ref="J397:J460" si="12">IF(D397&lt;&gt;"",D397,"")</f>
        <v/>
      </c>
      <c r="K397" s="25" t="str">
        <f t="shared" ref="K397:K460" si="13">IF(D397="Passed",E397,IF(D397="Warning",E397,""))</f>
        <v/>
      </c>
      <c r="L397" s="22"/>
      <c r="M397" s="23"/>
      <c r="N397" s="20"/>
      <c r="O397" s="16"/>
    </row>
    <row r="398" spans="1:15" s="6" customFormat="1" ht="14.1" customHeight="1">
      <c r="A398" s="132"/>
      <c r="B398" s="133"/>
      <c r="C398" s="43"/>
      <c r="D398" s="43"/>
      <c r="E398" s="43"/>
      <c r="F398" s="22"/>
      <c r="G398" s="43"/>
      <c r="H398" s="43"/>
      <c r="I398" s="23"/>
      <c r="J398" s="25" t="str">
        <f t="shared" si="12"/>
        <v/>
      </c>
      <c r="K398" s="25" t="str">
        <f t="shared" si="13"/>
        <v/>
      </c>
      <c r="L398" s="22"/>
      <c r="M398" s="23"/>
      <c r="N398" s="20"/>
      <c r="O398" s="16"/>
    </row>
    <row r="399" spans="1:15" s="6" customFormat="1" ht="14.1" customHeight="1">
      <c r="A399" s="132"/>
      <c r="B399" s="133"/>
      <c r="C399" s="43"/>
      <c r="D399" s="43"/>
      <c r="E399" s="43"/>
      <c r="F399" s="22"/>
      <c r="G399" s="43"/>
      <c r="H399" s="43"/>
      <c r="I399" s="23"/>
      <c r="J399" s="25" t="str">
        <f t="shared" si="12"/>
        <v/>
      </c>
      <c r="K399" s="25" t="str">
        <f t="shared" si="13"/>
        <v/>
      </c>
      <c r="L399" s="22"/>
      <c r="M399" s="23"/>
      <c r="N399" s="20"/>
      <c r="O399" s="16"/>
    </row>
    <row r="400" spans="1:15" s="6" customFormat="1" ht="14.1" customHeight="1">
      <c r="A400" s="132"/>
      <c r="B400" s="133"/>
      <c r="C400" s="43"/>
      <c r="D400" s="43"/>
      <c r="E400" s="43"/>
      <c r="F400" s="22"/>
      <c r="G400" s="43"/>
      <c r="H400" s="43"/>
      <c r="I400" s="23"/>
      <c r="J400" s="25" t="str">
        <f t="shared" si="12"/>
        <v/>
      </c>
      <c r="K400" s="25" t="str">
        <f t="shared" si="13"/>
        <v/>
      </c>
      <c r="L400" s="22"/>
      <c r="M400" s="23"/>
      <c r="N400" s="20"/>
      <c r="O400" s="16"/>
    </row>
    <row r="401" spans="1:15" s="6" customFormat="1" ht="14.1" customHeight="1">
      <c r="A401" s="132"/>
      <c r="B401" s="133"/>
      <c r="C401" s="43"/>
      <c r="D401" s="43"/>
      <c r="E401" s="43"/>
      <c r="F401" s="22"/>
      <c r="G401" s="43"/>
      <c r="H401" s="43"/>
      <c r="I401" s="23"/>
      <c r="J401" s="25" t="str">
        <f t="shared" si="12"/>
        <v/>
      </c>
      <c r="K401" s="25" t="str">
        <f t="shared" si="13"/>
        <v/>
      </c>
      <c r="L401" s="22"/>
      <c r="M401" s="23"/>
      <c r="N401" s="20"/>
      <c r="O401" s="16"/>
    </row>
    <row r="402" spans="1:15" s="6" customFormat="1" ht="14.1" customHeight="1">
      <c r="A402" s="132"/>
      <c r="B402" s="133"/>
      <c r="C402" s="43"/>
      <c r="D402" s="43"/>
      <c r="E402" s="43"/>
      <c r="F402" s="22"/>
      <c r="G402" s="43"/>
      <c r="H402" s="43"/>
      <c r="I402" s="23"/>
      <c r="J402" s="25" t="str">
        <f t="shared" si="12"/>
        <v/>
      </c>
      <c r="K402" s="25" t="str">
        <f t="shared" si="13"/>
        <v/>
      </c>
      <c r="L402" s="22"/>
      <c r="M402" s="23"/>
      <c r="N402" s="20"/>
      <c r="O402" s="16"/>
    </row>
    <row r="403" spans="1:15" s="6" customFormat="1" ht="14.1" customHeight="1">
      <c r="A403" s="132"/>
      <c r="B403" s="133"/>
      <c r="C403" s="43"/>
      <c r="D403" s="43"/>
      <c r="E403" s="43"/>
      <c r="F403" s="22"/>
      <c r="G403" s="43"/>
      <c r="H403" s="43"/>
      <c r="I403" s="23"/>
      <c r="J403" s="25" t="str">
        <f t="shared" si="12"/>
        <v/>
      </c>
      <c r="K403" s="25" t="str">
        <f t="shared" si="13"/>
        <v/>
      </c>
      <c r="L403" s="22"/>
      <c r="M403" s="23"/>
      <c r="N403" s="20"/>
      <c r="O403" s="16"/>
    </row>
    <row r="404" spans="1:15" s="6" customFormat="1" ht="14.1" customHeight="1">
      <c r="A404" s="132"/>
      <c r="B404" s="133"/>
      <c r="C404" s="43"/>
      <c r="D404" s="43"/>
      <c r="E404" s="43"/>
      <c r="F404" s="22"/>
      <c r="G404" s="43"/>
      <c r="H404" s="43"/>
      <c r="I404" s="23"/>
      <c r="J404" s="25" t="str">
        <f t="shared" si="12"/>
        <v/>
      </c>
      <c r="K404" s="25" t="str">
        <f t="shared" si="13"/>
        <v/>
      </c>
      <c r="L404" s="22"/>
      <c r="M404" s="23"/>
      <c r="N404" s="20"/>
      <c r="O404" s="16"/>
    </row>
    <row r="405" spans="1:15" s="6" customFormat="1" ht="14.1" customHeight="1">
      <c r="A405" s="132"/>
      <c r="B405" s="133"/>
      <c r="C405" s="43"/>
      <c r="D405" s="43"/>
      <c r="E405" s="43"/>
      <c r="F405" s="22"/>
      <c r="G405" s="43"/>
      <c r="H405" s="43"/>
      <c r="I405" s="23"/>
      <c r="J405" s="25" t="str">
        <f t="shared" si="12"/>
        <v/>
      </c>
      <c r="K405" s="25" t="str">
        <f t="shared" si="13"/>
        <v/>
      </c>
      <c r="L405" s="22"/>
      <c r="M405" s="23"/>
      <c r="N405" s="20"/>
      <c r="O405" s="16"/>
    </row>
    <row r="406" spans="1:15" s="6" customFormat="1" ht="14.1" customHeight="1">
      <c r="A406" s="132"/>
      <c r="B406" s="133"/>
      <c r="C406" s="43"/>
      <c r="D406" s="43"/>
      <c r="E406" s="43"/>
      <c r="F406" s="22"/>
      <c r="G406" s="43"/>
      <c r="H406" s="43"/>
      <c r="I406" s="23"/>
      <c r="J406" s="25" t="str">
        <f t="shared" si="12"/>
        <v/>
      </c>
      <c r="K406" s="25" t="str">
        <f t="shared" si="13"/>
        <v/>
      </c>
      <c r="L406" s="22"/>
      <c r="M406" s="23"/>
      <c r="N406" s="20"/>
      <c r="O406" s="16"/>
    </row>
    <row r="407" spans="1:15" s="6" customFormat="1" ht="14.1" customHeight="1">
      <c r="A407" s="132"/>
      <c r="B407" s="133"/>
      <c r="C407" s="43"/>
      <c r="D407" s="43"/>
      <c r="E407" s="43"/>
      <c r="F407" s="22"/>
      <c r="G407" s="43"/>
      <c r="H407" s="43"/>
      <c r="I407" s="23"/>
      <c r="J407" s="25" t="str">
        <f t="shared" si="12"/>
        <v/>
      </c>
      <c r="K407" s="25" t="str">
        <f t="shared" si="13"/>
        <v/>
      </c>
      <c r="L407" s="22"/>
      <c r="M407" s="23"/>
      <c r="N407" s="20"/>
      <c r="O407" s="16"/>
    </row>
    <row r="408" spans="1:15" s="6" customFormat="1" ht="14.1" customHeight="1">
      <c r="A408" s="132"/>
      <c r="B408" s="133"/>
      <c r="C408" s="43"/>
      <c r="D408" s="43"/>
      <c r="E408" s="43"/>
      <c r="F408" s="22"/>
      <c r="G408" s="43"/>
      <c r="H408" s="43"/>
      <c r="I408" s="23"/>
      <c r="J408" s="25" t="str">
        <f t="shared" si="12"/>
        <v/>
      </c>
      <c r="K408" s="25" t="str">
        <f t="shared" si="13"/>
        <v/>
      </c>
      <c r="L408" s="22"/>
      <c r="M408" s="23"/>
      <c r="N408" s="20"/>
      <c r="O408" s="16"/>
    </row>
    <row r="409" spans="1:15" s="6" customFormat="1" ht="14.1" customHeight="1">
      <c r="A409" s="132"/>
      <c r="B409" s="133"/>
      <c r="C409" s="43"/>
      <c r="D409" s="43"/>
      <c r="E409" s="43"/>
      <c r="F409" s="22"/>
      <c r="G409" s="43"/>
      <c r="H409" s="43"/>
      <c r="I409" s="23"/>
      <c r="J409" s="25" t="str">
        <f t="shared" si="12"/>
        <v/>
      </c>
      <c r="K409" s="25" t="str">
        <f t="shared" si="13"/>
        <v/>
      </c>
      <c r="L409" s="22"/>
      <c r="M409" s="23"/>
      <c r="N409" s="20"/>
      <c r="O409" s="16"/>
    </row>
    <row r="410" spans="1:15" s="6" customFormat="1" ht="14.1" customHeight="1">
      <c r="A410" s="132"/>
      <c r="B410" s="133"/>
      <c r="C410" s="43"/>
      <c r="D410" s="43"/>
      <c r="E410" s="43"/>
      <c r="F410" s="22"/>
      <c r="G410" s="43"/>
      <c r="H410" s="43"/>
      <c r="I410" s="23"/>
      <c r="J410" s="25" t="str">
        <f t="shared" si="12"/>
        <v/>
      </c>
      <c r="K410" s="25" t="str">
        <f t="shared" si="13"/>
        <v/>
      </c>
      <c r="L410" s="22"/>
      <c r="M410" s="23"/>
      <c r="N410" s="20"/>
      <c r="O410" s="16"/>
    </row>
    <row r="411" spans="1:15" s="6" customFormat="1" ht="14.1" customHeight="1">
      <c r="A411" s="132"/>
      <c r="B411" s="133"/>
      <c r="C411" s="43"/>
      <c r="D411" s="43"/>
      <c r="E411" s="43"/>
      <c r="F411" s="22"/>
      <c r="G411" s="43"/>
      <c r="H411" s="43"/>
      <c r="I411" s="23"/>
      <c r="J411" s="25" t="str">
        <f t="shared" si="12"/>
        <v/>
      </c>
      <c r="K411" s="25" t="str">
        <f t="shared" si="13"/>
        <v/>
      </c>
      <c r="L411" s="22"/>
      <c r="M411" s="23"/>
      <c r="N411" s="20"/>
      <c r="O411" s="16"/>
    </row>
    <row r="412" spans="1:15" s="6" customFormat="1" ht="14.1" customHeight="1">
      <c r="A412" s="132"/>
      <c r="B412" s="133"/>
      <c r="C412" s="43"/>
      <c r="D412" s="43"/>
      <c r="E412" s="43"/>
      <c r="F412" s="22"/>
      <c r="G412" s="43"/>
      <c r="H412" s="43"/>
      <c r="I412" s="23"/>
      <c r="J412" s="25" t="str">
        <f t="shared" si="12"/>
        <v/>
      </c>
      <c r="K412" s="25" t="str">
        <f t="shared" si="13"/>
        <v/>
      </c>
      <c r="L412" s="22"/>
      <c r="M412" s="23"/>
      <c r="N412" s="20"/>
      <c r="O412" s="16"/>
    </row>
    <row r="413" spans="1:15" s="6" customFormat="1" ht="14.1" customHeight="1">
      <c r="A413" s="132"/>
      <c r="B413" s="133"/>
      <c r="C413" s="43"/>
      <c r="D413" s="43"/>
      <c r="E413" s="43"/>
      <c r="F413" s="22"/>
      <c r="G413" s="43"/>
      <c r="H413" s="43"/>
      <c r="I413" s="23"/>
      <c r="J413" s="25" t="str">
        <f t="shared" si="12"/>
        <v/>
      </c>
      <c r="K413" s="25" t="str">
        <f t="shared" si="13"/>
        <v/>
      </c>
      <c r="L413" s="22"/>
      <c r="M413" s="23"/>
      <c r="N413" s="20"/>
      <c r="O413" s="16"/>
    </row>
    <row r="414" spans="1:15" s="6" customFormat="1" ht="14.1" customHeight="1">
      <c r="A414" s="132"/>
      <c r="B414" s="133"/>
      <c r="C414" s="43"/>
      <c r="D414" s="43"/>
      <c r="E414" s="43"/>
      <c r="F414" s="22"/>
      <c r="G414" s="43"/>
      <c r="H414" s="43"/>
      <c r="I414" s="23"/>
      <c r="J414" s="25" t="str">
        <f t="shared" si="12"/>
        <v/>
      </c>
      <c r="K414" s="25" t="str">
        <f t="shared" si="13"/>
        <v/>
      </c>
      <c r="L414" s="22"/>
      <c r="M414" s="23"/>
      <c r="N414" s="20"/>
      <c r="O414" s="16"/>
    </row>
    <row r="415" spans="1:15" s="6" customFormat="1" ht="14.1" customHeight="1">
      <c r="A415" s="132"/>
      <c r="B415" s="133"/>
      <c r="C415" s="43"/>
      <c r="D415" s="43"/>
      <c r="E415" s="43"/>
      <c r="F415" s="22"/>
      <c r="G415" s="43"/>
      <c r="H415" s="43"/>
      <c r="I415" s="23"/>
      <c r="J415" s="25" t="str">
        <f t="shared" si="12"/>
        <v/>
      </c>
      <c r="K415" s="25" t="str">
        <f t="shared" si="13"/>
        <v/>
      </c>
      <c r="L415" s="22"/>
      <c r="M415" s="23"/>
      <c r="N415" s="20"/>
      <c r="O415" s="16"/>
    </row>
    <row r="416" spans="1:15" s="6" customFormat="1" ht="14.1" customHeight="1">
      <c r="A416" s="132"/>
      <c r="B416" s="133"/>
      <c r="C416" s="43"/>
      <c r="D416" s="43"/>
      <c r="E416" s="43"/>
      <c r="F416" s="22"/>
      <c r="G416" s="43"/>
      <c r="H416" s="43"/>
      <c r="I416" s="23"/>
      <c r="J416" s="25" t="str">
        <f t="shared" si="12"/>
        <v/>
      </c>
      <c r="K416" s="25" t="str">
        <f t="shared" si="13"/>
        <v/>
      </c>
      <c r="L416" s="22"/>
      <c r="M416" s="23"/>
      <c r="N416" s="20"/>
      <c r="O416" s="16"/>
    </row>
    <row r="417" spans="1:15" s="6" customFormat="1" ht="14.1" customHeight="1">
      <c r="A417" s="132"/>
      <c r="B417" s="133"/>
      <c r="C417" s="43"/>
      <c r="D417" s="43"/>
      <c r="E417" s="43"/>
      <c r="F417" s="22"/>
      <c r="G417" s="43"/>
      <c r="H417" s="43"/>
      <c r="I417" s="23"/>
      <c r="J417" s="25" t="str">
        <f t="shared" si="12"/>
        <v/>
      </c>
      <c r="K417" s="25" t="str">
        <f t="shared" si="13"/>
        <v/>
      </c>
      <c r="L417" s="22"/>
      <c r="M417" s="23"/>
      <c r="N417" s="20"/>
      <c r="O417" s="16"/>
    </row>
    <row r="418" spans="1:15" s="6" customFormat="1" ht="14.1" customHeight="1">
      <c r="A418" s="132"/>
      <c r="B418" s="133"/>
      <c r="C418" s="43"/>
      <c r="D418" s="43"/>
      <c r="E418" s="43"/>
      <c r="F418" s="22"/>
      <c r="G418" s="43"/>
      <c r="H418" s="43"/>
      <c r="I418" s="23"/>
      <c r="J418" s="25" t="str">
        <f t="shared" si="12"/>
        <v/>
      </c>
      <c r="K418" s="25" t="str">
        <f t="shared" si="13"/>
        <v/>
      </c>
      <c r="L418" s="22"/>
      <c r="M418" s="23"/>
      <c r="N418" s="20"/>
      <c r="O418" s="16"/>
    </row>
    <row r="419" spans="1:15" s="6" customFormat="1" ht="14.1" customHeight="1">
      <c r="A419" s="132"/>
      <c r="B419" s="133"/>
      <c r="C419" s="43"/>
      <c r="D419" s="43"/>
      <c r="E419" s="43"/>
      <c r="F419" s="22"/>
      <c r="G419" s="43"/>
      <c r="H419" s="43"/>
      <c r="I419" s="23"/>
      <c r="J419" s="25" t="str">
        <f t="shared" si="12"/>
        <v/>
      </c>
      <c r="K419" s="25" t="str">
        <f t="shared" si="13"/>
        <v/>
      </c>
      <c r="L419" s="22"/>
      <c r="M419" s="23"/>
      <c r="N419" s="20"/>
      <c r="O419" s="16"/>
    </row>
    <row r="420" spans="1:15" s="6" customFormat="1" ht="14.1" customHeight="1">
      <c r="A420" s="132"/>
      <c r="B420" s="133"/>
      <c r="C420" s="43"/>
      <c r="D420" s="43"/>
      <c r="E420" s="43"/>
      <c r="F420" s="22"/>
      <c r="G420" s="43"/>
      <c r="H420" s="43"/>
      <c r="I420" s="23"/>
      <c r="J420" s="25" t="str">
        <f t="shared" si="12"/>
        <v/>
      </c>
      <c r="K420" s="25" t="str">
        <f t="shared" si="13"/>
        <v/>
      </c>
      <c r="L420" s="22"/>
      <c r="M420" s="23"/>
      <c r="N420" s="20"/>
      <c r="O420" s="16"/>
    </row>
    <row r="421" spans="1:15" s="6" customFormat="1" ht="14.1" customHeight="1">
      <c r="A421" s="132"/>
      <c r="B421" s="133"/>
      <c r="C421" s="43"/>
      <c r="D421" s="43"/>
      <c r="E421" s="43"/>
      <c r="F421" s="22"/>
      <c r="G421" s="43"/>
      <c r="H421" s="43"/>
      <c r="I421" s="23"/>
      <c r="J421" s="25" t="str">
        <f t="shared" si="12"/>
        <v/>
      </c>
      <c r="K421" s="25" t="str">
        <f t="shared" si="13"/>
        <v/>
      </c>
      <c r="L421" s="22"/>
      <c r="M421" s="23"/>
      <c r="N421" s="20"/>
      <c r="O421" s="16"/>
    </row>
    <row r="422" spans="1:15" s="6" customFormat="1" ht="14.1" customHeight="1">
      <c r="A422" s="132"/>
      <c r="B422" s="133"/>
      <c r="C422" s="43"/>
      <c r="D422" s="43"/>
      <c r="E422" s="43"/>
      <c r="F422" s="22"/>
      <c r="G422" s="43"/>
      <c r="H422" s="43"/>
      <c r="I422" s="23"/>
      <c r="J422" s="25" t="str">
        <f t="shared" si="12"/>
        <v/>
      </c>
      <c r="K422" s="25" t="str">
        <f t="shared" si="13"/>
        <v/>
      </c>
      <c r="L422" s="22"/>
      <c r="M422" s="23"/>
      <c r="N422" s="20"/>
      <c r="O422" s="16"/>
    </row>
    <row r="423" spans="1:15" s="6" customFormat="1" ht="14.1" customHeight="1">
      <c r="A423" s="132"/>
      <c r="B423" s="133"/>
      <c r="C423" s="43"/>
      <c r="D423" s="43"/>
      <c r="E423" s="43"/>
      <c r="F423" s="22"/>
      <c r="G423" s="43"/>
      <c r="H423" s="43"/>
      <c r="I423" s="23"/>
      <c r="J423" s="25" t="str">
        <f t="shared" si="12"/>
        <v/>
      </c>
      <c r="K423" s="25" t="str">
        <f t="shared" si="13"/>
        <v/>
      </c>
      <c r="L423" s="22"/>
      <c r="M423" s="23"/>
      <c r="N423" s="20"/>
      <c r="O423" s="16"/>
    </row>
    <row r="424" spans="1:15" s="6" customFormat="1" ht="14.1" customHeight="1">
      <c r="A424" s="132"/>
      <c r="B424" s="133"/>
      <c r="C424" s="43"/>
      <c r="D424" s="43"/>
      <c r="E424" s="43"/>
      <c r="F424" s="22"/>
      <c r="G424" s="43"/>
      <c r="H424" s="43"/>
      <c r="I424" s="23"/>
      <c r="J424" s="25" t="str">
        <f t="shared" si="12"/>
        <v/>
      </c>
      <c r="K424" s="25" t="str">
        <f t="shared" si="13"/>
        <v/>
      </c>
      <c r="L424" s="22"/>
      <c r="M424" s="23"/>
      <c r="N424" s="20"/>
      <c r="O424" s="16"/>
    </row>
    <row r="425" spans="1:15" s="6" customFormat="1" ht="14.1" customHeight="1">
      <c r="A425" s="132"/>
      <c r="B425" s="133"/>
      <c r="C425" s="43"/>
      <c r="D425" s="43"/>
      <c r="E425" s="43"/>
      <c r="F425" s="22"/>
      <c r="G425" s="43"/>
      <c r="H425" s="43"/>
      <c r="I425" s="23"/>
      <c r="J425" s="25" t="str">
        <f t="shared" si="12"/>
        <v/>
      </c>
      <c r="K425" s="25" t="str">
        <f t="shared" si="13"/>
        <v/>
      </c>
      <c r="L425" s="22"/>
      <c r="M425" s="23"/>
      <c r="N425" s="20"/>
      <c r="O425" s="16"/>
    </row>
    <row r="426" spans="1:15" s="6" customFormat="1" ht="14.1" customHeight="1">
      <c r="A426" s="132"/>
      <c r="B426" s="133"/>
      <c r="C426" s="43"/>
      <c r="D426" s="43"/>
      <c r="E426" s="43"/>
      <c r="F426" s="22"/>
      <c r="G426" s="43"/>
      <c r="H426" s="43"/>
      <c r="I426" s="23"/>
      <c r="J426" s="25" t="str">
        <f t="shared" si="12"/>
        <v/>
      </c>
      <c r="K426" s="25" t="str">
        <f t="shared" si="13"/>
        <v/>
      </c>
      <c r="L426" s="22"/>
      <c r="M426" s="23"/>
      <c r="N426" s="20"/>
      <c r="O426" s="16"/>
    </row>
    <row r="427" spans="1:15" s="6" customFormat="1" ht="14.1" customHeight="1">
      <c r="A427" s="132"/>
      <c r="B427" s="133"/>
      <c r="C427" s="43"/>
      <c r="D427" s="43"/>
      <c r="E427" s="43"/>
      <c r="F427" s="22"/>
      <c r="G427" s="43"/>
      <c r="H427" s="43"/>
      <c r="I427" s="23"/>
      <c r="J427" s="25" t="str">
        <f t="shared" si="12"/>
        <v/>
      </c>
      <c r="K427" s="25" t="str">
        <f t="shared" si="13"/>
        <v/>
      </c>
      <c r="L427" s="22"/>
      <c r="M427" s="23"/>
      <c r="N427" s="20"/>
      <c r="O427" s="16"/>
    </row>
    <row r="428" spans="1:15" s="6" customFormat="1" ht="14.1" customHeight="1">
      <c r="A428" s="132"/>
      <c r="B428" s="133"/>
      <c r="C428" s="43"/>
      <c r="D428" s="43"/>
      <c r="E428" s="43"/>
      <c r="F428" s="22"/>
      <c r="G428" s="43"/>
      <c r="H428" s="43"/>
      <c r="I428" s="23"/>
      <c r="J428" s="25" t="str">
        <f t="shared" si="12"/>
        <v/>
      </c>
      <c r="K428" s="25" t="str">
        <f t="shared" si="13"/>
        <v/>
      </c>
      <c r="L428" s="22"/>
      <c r="M428" s="23"/>
      <c r="N428" s="20"/>
      <c r="O428" s="16"/>
    </row>
    <row r="429" spans="1:15" s="6" customFormat="1" ht="14.1" customHeight="1">
      <c r="A429" s="132"/>
      <c r="B429" s="133"/>
      <c r="C429" s="43"/>
      <c r="D429" s="43"/>
      <c r="E429" s="43"/>
      <c r="F429" s="22"/>
      <c r="G429" s="43"/>
      <c r="H429" s="43"/>
      <c r="I429" s="23"/>
      <c r="J429" s="25" t="str">
        <f t="shared" si="12"/>
        <v/>
      </c>
      <c r="K429" s="25" t="str">
        <f t="shared" si="13"/>
        <v/>
      </c>
      <c r="L429" s="22"/>
      <c r="M429" s="23"/>
      <c r="N429" s="20"/>
      <c r="O429" s="16"/>
    </row>
    <row r="430" spans="1:15" s="6" customFormat="1" ht="14.1" customHeight="1">
      <c r="A430" s="132"/>
      <c r="B430" s="133"/>
      <c r="C430" s="43"/>
      <c r="D430" s="43"/>
      <c r="E430" s="43"/>
      <c r="F430" s="22"/>
      <c r="G430" s="43"/>
      <c r="H430" s="43"/>
      <c r="I430" s="23"/>
      <c r="J430" s="25" t="str">
        <f t="shared" si="12"/>
        <v/>
      </c>
      <c r="K430" s="25" t="str">
        <f t="shared" si="13"/>
        <v/>
      </c>
      <c r="L430" s="22"/>
      <c r="M430" s="23"/>
      <c r="N430" s="20"/>
      <c r="O430" s="16"/>
    </row>
    <row r="431" spans="1:15" s="6" customFormat="1" ht="14.1" customHeight="1">
      <c r="A431" s="132"/>
      <c r="B431" s="133"/>
      <c r="C431" s="43"/>
      <c r="D431" s="43"/>
      <c r="E431" s="43"/>
      <c r="F431" s="22"/>
      <c r="G431" s="43"/>
      <c r="H431" s="43"/>
      <c r="I431" s="23"/>
      <c r="J431" s="25" t="str">
        <f t="shared" si="12"/>
        <v/>
      </c>
      <c r="K431" s="25" t="str">
        <f t="shared" si="13"/>
        <v/>
      </c>
      <c r="L431" s="22"/>
      <c r="M431" s="23"/>
      <c r="N431" s="20"/>
      <c r="O431" s="16"/>
    </row>
    <row r="432" spans="1:15" s="6" customFormat="1" ht="14.1" customHeight="1">
      <c r="A432" s="132"/>
      <c r="B432" s="133"/>
      <c r="C432" s="43"/>
      <c r="D432" s="43"/>
      <c r="E432" s="43"/>
      <c r="F432" s="22"/>
      <c r="G432" s="43"/>
      <c r="H432" s="43"/>
      <c r="I432" s="23"/>
      <c r="J432" s="25" t="str">
        <f t="shared" si="12"/>
        <v/>
      </c>
      <c r="K432" s="25" t="str">
        <f t="shared" si="13"/>
        <v/>
      </c>
      <c r="L432" s="22"/>
      <c r="M432" s="23"/>
      <c r="N432" s="20"/>
      <c r="O432" s="16"/>
    </row>
    <row r="433" spans="1:15" s="6" customFormat="1" ht="14.1" customHeight="1">
      <c r="A433" s="132"/>
      <c r="B433" s="133"/>
      <c r="C433" s="43"/>
      <c r="D433" s="43"/>
      <c r="E433" s="43"/>
      <c r="F433" s="22"/>
      <c r="G433" s="43"/>
      <c r="H433" s="43"/>
      <c r="I433" s="23"/>
      <c r="J433" s="25" t="str">
        <f t="shared" si="12"/>
        <v/>
      </c>
      <c r="K433" s="25" t="str">
        <f t="shared" si="13"/>
        <v/>
      </c>
      <c r="L433" s="22"/>
      <c r="M433" s="23"/>
      <c r="N433" s="20"/>
      <c r="O433" s="16"/>
    </row>
    <row r="434" spans="1:15" s="6" customFormat="1" ht="14.1" customHeight="1">
      <c r="A434" s="132"/>
      <c r="B434" s="133"/>
      <c r="C434" s="43"/>
      <c r="D434" s="43"/>
      <c r="E434" s="43"/>
      <c r="F434" s="22"/>
      <c r="G434" s="43"/>
      <c r="H434" s="43"/>
      <c r="I434" s="23"/>
      <c r="J434" s="25" t="str">
        <f t="shared" si="12"/>
        <v/>
      </c>
      <c r="K434" s="25" t="str">
        <f t="shared" si="13"/>
        <v/>
      </c>
      <c r="L434" s="22"/>
      <c r="M434" s="23"/>
      <c r="N434" s="20"/>
      <c r="O434" s="16"/>
    </row>
    <row r="435" spans="1:15" s="6" customFormat="1" ht="14.1" customHeight="1">
      <c r="A435" s="132"/>
      <c r="B435" s="133"/>
      <c r="C435" s="43"/>
      <c r="D435" s="43"/>
      <c r="E435" s="43"/>
      <c r="F435" s="22"/>
      <c r="G435" s="43"/>
      <c r="H435" s="43"/>
      <c r="I435" s="23"/>
      <c r="J435" s="25" t="str">
        <f t="shared" si="12"/>
        <v/>
      </c>
      <c r="K435" s="25" t="str">
        <f t="shared" si="13"/>
        <v/>
      </c>
      <c r="L435" s="22"/>
      <c r="M435" s="23"/>
      <c r="N435" s="20"/>
      <c r="O435" s="16"/>
    </row>
    <row r="436" spans="1:15" s="6" customFormat="1" ht="14.1" customHeight="1">
      <c r="A436" s="132"/>
      <c r="B436" s="133"/>
      <c r="C436" s="43"/>
      <c r="D436" s="43"/>
      <c r="E436" s="43"/>
      <c r="F436" s="22"/>
      <c r="G436" s="43"/>
      <c r="H436" s="43"/>
      <c r="I436" s="23"/>
      <c r="J436" s="25" t="str">
        <f t="shared" si="12"/>
        <v/>
      </c>
      <c r="K436" s="25" t="str">
        <f t="shared" si="13"/>
        <v/>
      </c>
      <c r="L436" s="22"/>
      <c r="M436" s="23"/>
      <c r="N436" s="20"/>
      <c r="O436" s="16"/>
    </row>
    <row r="437" spans="1:15" s="6" customFormat="1" ht="14.1" customHeight="1">
      <c r="A437" s="132"/>
      <c r="B437" s="133"/>
      <c r="C437" s="43"/>
      <c r="D437" s="43"/>
      <c r="E437" s="43"/>
      <c r="F437" s="22"/>
      <c r="G437" s="43"/>
      <c r="H437" s="43"/>
      <c r="I437" s="23"/>
      <c r="J437" s="25" t="str">
        <f t="shared" si="12"/>
        <v/>
      </c>
      <c r="K437" s="25" t="str">
        <f t="shared" si="13"/>
        <v/>
      </c>
      <c r="L437" s="22"/>
      <c r="M437" s="23"/>
      <c r="N437" s="20"/>
      <c r="O437" s="16"/>
    </row>
    <row r="438" spans="1:15" s="6" customFormat="1" ht="14.1" customHeight="1">
      <c r="A438" s="132"/>
      <c r="B438" s="133"/>
      <c r="C438" s="43"/>
      <c r="D438" s="43"/>
      <c r="E438" s="43"/>
      <c r="F438" s="22"/>
      <c r="G438" s="43"/>
      <c r="H438" s="43"/>
      <c r="I438" s="23"/>
      <c r="J438" s="25" t="str">
        <f t="shared" si="12"/>
        <v/>
      </c>
      <c r="K438" s="25" t="str">
        <f t="shared" si="13"/>
        <v/>
      </c>
      <c r="L438" s="22"/>
      <c r="M438" s="23"/>
      <c r="N438" s="20"/>
      <c r="O438" s="16"/>
    </row>
    <row r="439" spans="1:15" s="6" customFormat="1" ht="14.1" customHeight="1">
      <c r="A439" s="132"/>
      <c r="B439" s="133"/>
      <c r="C439" s="43"/>
      <c r="D439" s="43"/>
      <c r="E439" s="43"/>
      <c r="F439" s="22"/>
      <c r="G439" s="43"/>
      <c r="H439" s="43"/>
      <c r="I439" s="23"/>
      <c r="J439" s="25" t="str">
        <f t="shared" si="12"/>
        <v/>
      </c>
      <c r="K439" s="25" t="str">
        <f t="shared" si="13"/>
        <v/>
      </c>
      <c r="L439" s="22"/>
      <c r="M439" s="23"/>
      <c r="N439" s="20"/>
      <c r="O439" s="16"/>
    </row>
    <row r="440" spans="1:15" s="6" customFormat="1" ht="14.1" customHeight="1">
      <c r="A440" s="132"/>
      <c r="B440" s="133"/>
      <c r="C440" s="43"/>
      <c r="D440" s="43"/>
      <c r="E440" s="43"/>
      <c r="F440" s="22"/>
      <c r="G440" s="43"/>
      <c r="H440" s="43"/>
      <c r="I440" s="23"/>
      <c r="J440" s="25" t="str">
        <f t="shared" si="12"/>
        <v/>
      </c>
      <c r="K440" s="25" t="str">
        <f t="shared" si="13"/>
        <v/>
      </c>
      <c r="L440" s="22"/>
      <c r="M440" s="23"/>
      <c r="N440" s="20"/>
      <c r="O440" s="16"/>
    </row>
    <row r="441" spans="1:15" s="6" customFormat="1" ht="14.1" customHeight="1">
      <c r="A441" s="132"/>
      <c r="B441" s="133"/>
      <c r="C441" s="43"/>
      <c r="D441" s="43"/>
      <c r="E441" s="43"/>
      <c r="F441" s="22"/>
      <c r="G441" s="43"/>
      <c r="H441" s="43"/>
      <c r="I441" s="23"/>
      <c r="J441" s="25" t="str">
        <f t="shared" si="12"/>
        <v/>
      </c>
      <c r="K441" s="25" t="str">
        <f t="shared" si="13"/>
        <v/>
      </c>
      <c r="L441" s="22"/>
      <c r="M441" s="23"/>
      <c r="N441" s="20"/>
      <c r="O441" s="16"/>
    </row>
    <row r="442" spans="1:15" s="6" customFormat="1" ht="14.1" customHeight="1">
      <c r="A442" s="132"/>
      <c r="B442" s="133"/>
      <c r="C442" s="43"/>
      <c r="D442" s="43"/>
      <c r="E442" s="43"/>
      <c r="F442" s="22"/>
      <c r="G442" s="43"/>
      <c r="H442" s="43"/>
      <c r="I442" s="23"/>
      <c r="J442" s="25" t="str">
        <f t="shared" si="12"/>
        <v/>
      </c>
      <c r="K442" s="25" t="str">
        <f t="shared" si="13"/>
        <v/>
      </c>
      <c r="L442" s="22"/>
      <c r="M442" s="23"/>
      <c r="N442" s="20"/>
      <c r="O442" s="16"/>
    </row>
    <row r="443" spans="1:15" s="6" customFormat="1" ht="14.1" customHeight="1">
      <c r="A443" s="132"/>
      <c r="B443" s="133"/>
      <c r="C443" s="43"/>
      <c r="D443" s="43"/>
      <c r="E443" s="43"/>
      <c r="F443" s="22"/>
      <c r="G443" s="43"/>
      <c r="H443" s="43"/>
      <c r="I443" s="23"/>
      <c r="J443" s="25" t="str">
        <f t="shared" si="12"/>
        <v/>
      </c>
      <c r="K443" s="25" t="str">
        <f t="shared" si="13"/>
        <v/>
      </c>
      <c r="L443" s="22"/>
      <c r="M443" s="23"/>
      <c r="N443" s="20"/>
      <c r="O443" s="16"/>
    </row>
    <row r="444" spans="1:15" s="6" customFormat="1" ht="14.1" customHeight="1">
      <c r="A444" s="132"/>
      <c r="B444" s="133"/>
      <c r="C444" s="43"/>
      <c r="D444" s="43"/>
      <c r="E444" s="43"/>
      <c r="F444" s="22"/>
      <c r="G444" s="43"/>
      <c r="H444" s="43"/>
      <c r="I444" s="23"/>
      <c r="J444" s="25" t="str">
        <f t="shared" si="12"/>
        <v/>
      </c>
      <c r="K444" s="25" t="str">
        <f t="shared" si="13"/>
        <v/>
      </c>
      <c r="L444" s="22"/>
      <c r="M444" s="23"/>
      <c r="N444" s="20"/>
      <c r="O444" s="16"/>
    </row>
    <row r="445" spans="1:15" s="6" customFormat="1" ht="14.1" customHeight="1">
      <c r="A445" s="132"/>
      <c r="B445" s="133"/>
      <c r="C445" s="43"/>
      <c r="D445" s="43"/>
      <c r="E445" s="43"/>
      <c r="F445" s="22"/>
      <c r="G445" s="43"/>
      <c r="H445" s="43"/>
      <c r="I445" s="23"/>
      <c r="J445" s="25" t="str">
        <f t="shared" si="12"/>
        <v/>
      </c>
      <c r="K445" s="25" t="str">
        <f t="shared" si="13"/>
        <v/>
      </c>
      <c r="L445" s="22"/>
      <c r="M445" s="23"/>
      <c r="N445" s="20"/>
      <c r="O445" s="16"/>
    </row>
    <row r="446" spans="1:15" s="6" customFormat="1" ht="14.1" customHeight="1">
      <c r="A446" s="132"/>
      <c r="B446" s="133"/>
      <c r="C446" s="43"/>
      <c r="D446" s="43"/>
      <c r="E446" s="43"/>
      <c r="F446" s="22"/>
      <c r="G446" s="43"/>
      <c r="H446" s="43"/>
      <c r="I446" s="23"/>
      <c r="J446" s="25" t="str">
        <f t="shared" si="12"/>
        <v/>
      </c>
      <c r="K446" s="25" t="str">
        <f t="shared" si="13"/>
        <v/>
      </c>
      <c r="L446" s="22"/>
      <c r="M446" s="23"/>
      <c r="N446" s="20"/>
      <c r="O446" s="16"/>
    </row>
    <row r="447" spans="1:15" s="6" customFormat="1" ht="14.1" customHeight="1">
      <c r="A447" s="132"/>
      <c r="B447" s="133"/>
      <c r="C447" s="43"/>
      <c r="D447" s="43"/>
      <c r="E447" s="43"/>
      <c r="F447" s="22"/>
      <c r="G447" s="43"/>
      <c r="H447" s="43"/>
      <c r="I447" s="23"/>
      <c r="J447" s="25" t="str">
        <f t="shared" si="12"/>
        <v/>
      </c>
      <c r="K447" s="25" t="str">
        <f t="shared" si="13"/>
        <v/>
      </c>
      <c r="L447" s="22"/>
      <c r="M447" s="23"/>
      <c r="N447" s="20"/>
      <c r="O447" s="16"/>
    </row>
    <row r="448" spans="1:15" s="6" customFormat="1" ht="14.1" customHeight="1">
      <c r="A448" s="132"/>
      <c r="B448" s="133"/>
      <c r="C448" s="43"/>
      <c r="D448" s="43"/>
      <c r="E448" s="43"/>
      <c r="F448" s="22"/>
      <c r="G448" s="43"/>
      <c r="H448" s="43"/>
      <c r="I448" s="23"/>
      <c r="J448" s="25" t="str">
        <f t="shared" si="12"/>
        <v/>
      </c>
      <c r="K448" s="25" t="str">
        <f t="shared" si="13"/>
        <v/>
      </c>
      <c r="L448" s="22"/>
      <c r="M448" s="23"/>
      <c r="N448" s="20"/>
      <c r="O448" s="16"/>
    </row>
    <row r="449" spans="1:15" s="6" customFormat="1" ht="14.1" customHeight="1">
      <c r="A449" s="132"/>
      <c r="B449" s="133"/>
      <c r="C449" s="43"/>
      <c r="D449" s="43"/>
      <c r="E449" s="43"/>
      <c r="F449" s="22"/>
      <c r="G449" s="43"/>
      <c r="H449" s="43"/>
      <c r="I449" s="23"/>
      <c r="J449" s="25" t="str">
        <f t="shared" si="12"/>
        <v/>
      </c>
      <c r="K449" s="25" t="str">
        <f t="shared" si="13"/>
        <v/>
      </c>
      <c r="L449" s="22"/>
      <c r="M449" s="23"/>
      <c r="N449" s="20"/>
      <c r="O449" s="16"/>
    </row>
    <row r="450" spans="1:15" s="6" customFormat="1" ht="14.1" customHeight="1">
      <c r="A450" s="132"/>
      <c r="B450" s="133"/>
      <c r="C450" s="43"/>
      <c r="D450" s="43"/>
      <c r="E450" s="43"/>
      <c r="F450" s="22"/>
      <c r="G450" s="43"/>
      <c r="H450" s="43"/>
      <c r="I450" s="23"/>
      <c r="J450" s="25" t="str">
        <f t="shared" si="12"/>
        <v/>
      </c>
      <c r="K450" s="25" t="str">
        <f t="shared" si="13"/>
        <v/>
      </c>
      <c r="L450" s="22"/>
      <c r="M450" s="23"/>
      <c r="N450" s="20"/>
      <c r="O450" s="16"/>
    </row>
    <row r="451" spans="1:15" s="6" customFormat="1" ht="14.1" customHeight="1">
      <c r="A451" s="132"/>
      <c r="B451" s="133"/>
      <c r="C451" s="43"/>
      <c r="D451" s="43"/>
      <c r="E451" s="43"/>
      <c r="F451" s="22"/>
      <c r="G451" s="43"/>
      <c r="H451" s="43"/>
      <c r="I451" s="23"/>
      <c r="J451" s="25" t="str">
        <f t="shared" si="12"/>
        <v/>
      </c>
      <c r="K451" s="25" t="str">
        <f t="shared" si="13"/>
        <v/>
      </c>
      <c r="L451" s="22"/>
      <c r="M451" s="23"/>
      <c r="N451" s="20"/>
      <c r="O451" s="16"/>
    </row>
    <row r="452" spans="1:15" s="6" customFormat="1" ht="14.1" customHeight="1">
      <c r="A452" s="132"/>
      <c r="B452" s="133"/>
      <c r="C452" s="43"/>
      <c r="D452" s="43"/>
      <c r="E452" s="43"/>
      <c r="F452" s="22"/>
      <c r="G452" s="43"/>
      <c r="H452" s="43"/>
      <c r="I452" s="23"/>
      <c r="J452" s="25" t="str">
        <f t="shared" si="12"/>
        <v/>
      </c>
      <c r="K452" s="25" t="str">
        <f t="shared" si="13"/>
        <v/>
      </c>
      <c r="L452" s="22"/>
      <c r="M452" s="23"/>
      <c r="N452" s="20"/>
      <c r="O452" s="16"/>
    </row>
    <row r="453" spans="1:15" s="6" customFormat="1" ht="14.1" customHeight="1">
      <c r="A453" s="132"/>
      <c r="B453" s="133"/>
      <c r="C453" s="43"/>
      <c r="D453" s="43"/>
      <c r="E453" s="43"/>
      <c r="F453" s="22"/>
      <c r="G453" s="43"/>
      <c r="H453" s="43"/>
      <c r="I453" s="23"/>
      <c r="J453" s="25" t="str">
        <f t="shared" si="12"/>
        <v/>
      </c>
      <c r="K453" s="25" t="str">
        <f t="shared" si="13"/>
        <v/>
      </c>
      <c r="L453" s="22"/>
      <c r="M453" s="23"/>
      <c r="N453" s="20"/>
      <c r="O453" s="16"/>
    </row>
    <row r="454" spans="1:15" s="6" customFormat="1" ht="14.1" customHeight="1">
      <c r="A454" s="132"/>
      <c r="B454" s="133"/>
      <c r="C454" s="43"/>
      <c r="D454" s="43"/>
      <c r="E454" s="43"/>
      <c r="F454" s="22"/>
      <c r="G454" s="43"/>
      <c r="H454" s="43"/>
      <c r="I454" s="23"/>
      <c r="J454" s="25" t="str">
        <f t="shared" si="12"/>
        <v/>
      </c>
      <c r="K454" s="25" t="str">
        <f t="shared" si="13"/>
        <v/>
      </c>
      <c r="L454" s="22"/>
      <c r="M454" s="23"/>
      <c r="N454" s="20"/>
      <c r="O454" s="16"/>
    </row>
    <row r="455" spans="1:15" s="6" customFormat="1" ht="14.1" customHeight="1">
      <c r="A455" s="132"/>
      <c r="B455" s="133"/>
      <c r="C455" s="43"/>
      <c r="D455" s="43"/>
      <c r="E455" s="43"/>
      <c r="F455" s="22"/>
      <c r="G455" s="43"/>
      <c r="H455" s="43"/>
      <c r="I455" s="23"/>
      <c r="J455" s="25" t="str">
        <f t="shared" si="12"/>
        <v/>
      </c>
      <c r="K455" s="25" t="str">
        <f t="shared" si="13"/>
        <v/>
      </c>
      <c r="L455" s="22"/>
      <c r="M455" s="23"/>
      <c r="N455" s="20"/>
      <c r="O455" s="16"/>
    </row>
    <row r="456" spans="1:15" s="6" customFormat="1" ht="14.1" customHeight="1">
      <c r="A456" s="132"/>
      <c r="B456" s="133"/>
      <c r="C456" s="43"/>
      <c r="D456" s="43"/>
      <c r="E456" s="43"/>
      <c r="F456" s="22"/>
      <c r="G456" s="43"/>
      <c r="H456" s="43"/>
      <c r="I456" s="23"/>
      <c r="J456" s="25" t="str">
        <f t="shared" si="12"/>
        <v/>
      </c>
      <c r="K456" s="25" t="str">
        <f t="shared" si="13"/>
        <v/>
      </c>
      <c r="L456" s="22"/>
      <c r="M456" s="23"/>
      <c r="N456" s="20"/>
      <c r="O456" s="16"/>
    </row>
    <row r="457" spans="1:15" s="6" customFormat="1" ht="14.1" customHeight="1">
      <c r="A457" s="132"/>
      <c r="B457" s="133"/>
      <c r="C457" s="43"/>
      <c r="D457" s="43"/>
      <c r="E457" s="43"/>
      <c r="F457" s="22"/>
      <c r="G457" s="43"/>
      <c r="H457" s="43"/>
      <c r="I457" s="23"/>
      <c r="J457" s="25" t="str">
        <f t="shared" si="12"/>
        <v/>
      </c>
      <c r="K457" s="25" t="str">
        <f t="shared" si="13"/>
        <v/>
      </c>
      <c r="L457" s="22"/>
      <c r="M457" s="23"/>
      <c r="N457" s="20"/>
      <c r="O457" s="16"/>
    </row>
    <row r="458" spans="1:15" s="6" customFormat="1" ht="14.1" customHeight="1">
      <c r="A458" s="132"/>
      <c r="B458" s="133"/>
      <c r="C458" s="43"/>
      <c r="D458" s="43"/>
      <c r="E458" s="43"/>
      <c r="F458" s="22"/>
      <c r="G458" s="43"/>
      <c r="H458" s="43"/>
      <c r="I458" s="23"/>
      <c r="J458" s="25" t="str">
        <f t="shared" si="12"/>
        <v/>
      </c>
      <c r="K458" s="25" t="str">
        <f t="shared" si="13"/>
        <v/>
      </c>
      <c r="L458" s="22"/>
      <c r="M458" s="23"/>
      <c r="N458" s="20"/>
      <c r="O458" s="16"/>
    </row>
    <row r="459" spans="1:15" s="6" customFormat="1" ht="14.1" customHeight="1">
      <c r="A459" s="132"/>
      <c r="B459" s="133"/>
      <c r="C459" s="43"/>
      <c r="D459" s="43"/>
      <c r="E459" s="43"/>
      <c r="F459" s="22"/>
      <c r="G459" s="43"/>
      <c r="H459" s="43"/>
      <c r="I459" s="23"/>
      <c r="J459" s="25" t="str">
        <f t="shared" si="12"/>
        <v/>
      </c>
      <c r="K459" s="25" t="str">
        <f t="shared" si="13"/>
        <v/>
      </c>
      <c r="L459" s="22"/>
      <c r="M459" s="23"/>
      <c r="N459" s="20"/>
      <c r="O459" s="16"/>
    </row>
    <row r="460" spans="1:15" s="6" customFormat="1" ht="14.1" customHeight="1">
      <c r="A460" s="132"/>
      <c r="B460" s="133"/>
      <c r="C460" s="43"/>
      <c r="D460" s="43"/>
      <c r="E460" s="43"/>
      <c r="F460" s="22"/>
      <c r="G460" s="43"/>
      <c r="H460" s="43"/>
      <c r="I460" s="23"/>
      <c r="J460" s="25" t="str">
        <f t="shared" si="12"/>
        <v/>
      </c>
      <c r="K460" s="25" t="str">
        <f t="shared" si="13"/>
        <v/>
      </c>
      <c r="L460" s="22"/>
      <c r="M460" s="23"/>
      <c r="N460" s="20"/>
      <c r="O460" s="16"/>
    </row>
    <row r="461" spans="1:15" s="6" customFormat="1" ht="14.1" customHeight="1">
      <c r="A461" s="132"/>
      <c r="B461" s="133"/>
      <c r="C461" s="43"/>
      <c r="D461" s="43"/>
      <c r="E461" s="43"/>
      <c r="F461" s="22"/>
      <c r="G461" s="43"/>
      <c r="H461" s="43"/>
      <c r="I461" s="23"/>
      <c r="J461" s="25" t="str">
        <f t="shared" ref="J461:J524" si="14">IF(D461&lt;&gt;"",D461,"")</f>
        <v/>
      </c>
      <c r="K461" s="25" t="str">
        <f t="shared" ref="K461:K524" si="15">IF(D461="Passed",E461,IF(D461="Warning",E461,""))</f>
        <v/>
      </c>
      <c r="L461" s="22"/>
      <c r="M461" s="23"/>
      <c r="N461" s="20"/>
      <c r="O461" s="16"/>
    </row>
    <row r="462" spans="1:15" s="6" customFormat="1" ht="14.1" customHeight="1">
      <c r="A462" s="132"/>
      <c r="B462" s="133"/>
      <c r="C462" s="43"/>
      <c r="D462" s="43"/>
      <c r="E462" s="43"/>
      <c r="F462" s="22"/>
      <c r="G462" s="43"/>
      <c r="H462" s="43"/>
      <c r="I462" s="23"/>
      <c r="J462" s="25" t="str">
        <f t="shared" si="14"/>
        <v/>
      </c>
      <c r="K462" s="25" t="str">
        <f t="shared" si="15"/>
        <v/>
      </c>
      <c r="L462" s="22"/>
      <c r="M462" s="23"/>
      <c r="N462" s="20"/>
      <c r="O462" s="16"/>
    </row>
    <row r="463" spans="1:15" s="6" customFormat="1" ht="14.1" customHeight="1">
      <c r="A463" s="132"/>
      <c r="B463" s="133"/>
      <c r="C463" s="43"/>
      <c r="D463" s="43"/>
      <c r="E463" s="43"/>
      <c r="F463" s="22"/>
      <c r="G463" s="43"/>
      <c r="H463" s="43"/>
      <c r="I463" s="23"/>
      <c r="J463" s="25" t="str">
        <f t="shared" si="14"/>
        <v/>
      </c>
      <c r="K463" s="25" t="str">
        <f t="shared" si="15"/>
        <v/>
      </c>
      <c r="L463" s="22"/>
      <c r="M463" s="23"/>
      <c r="N463" s="20"/>
      <c r="O463" s="16"/>
    </row>
    <row r="464" spans="1:15" s="6" customFormat="1" ht="14.1" customHeight="1">
      <c r="A464" s="132"/>
      <c r="B464" s="133"/>
      <c r="C464" s="43"/>
      <c r="D464" s="43"/>
      <c r="E464" s="43"/>
      <c r="F464" s="22"/>
      <c r="G464" s="43"/>
      <c r="H464" s="43"/>
      <c r="I464" s="23"/>
      <c r="J464" s="25" t="str">
        <f t="shared" si="14"/>
        <v/>
      </c>
      <c r="K464" s="25" t="str">
        <f t="shared" si="15"/>
        <v/>
      </c>
      <c r="L464" s="22"/>
      <c r="M464" s="23"/>
      <c r="N464" s="20"/>
      <c r="O464" s="16"/>
    </row>
    <row r="465" spans="1:15" s="6" customFormat="1" ht="14.1" customHeight="1">
      <c r="A465" s="132"/>
      <c r="B465" s="133"/>
      <c r="C465" s="43"/>
      <c r="D465" s="43"/>
      <c r="E465" s="43"/>
      <c r="F465" s="22"/>
      <c r="G465" s="43"/>
      <c r="H465" s="43"/>
      <c r="I465" s="23"/>
      <c r="J465" s="25" t="str">
        <f t="shared" si="14"/>
        <v/>
      </c>
      <c r="K465" s="25" t="str">
        <f t="shared" si="15"/>
        <v/>
      </c>
      <c r="L465" s="22"/>
      <c r="M465" s="23"/>
      <c r="N465" s="20"/>
      <c r="O465" s="16"/>
    </row>
    <row r="466" spans="1:15" s="6" customFormat="1" ht="14.1" customHeight="1">
      <c r="A466" s="132"/>
      <c r="B466" s="133"/>
      <c r="C466" s="43"/>
      <c r="D466" s="43"/>
      <c r="E466" s="43"/>
      <c r="F466" s="22"/>
      <c r="G466" s="43"/>
      <c r="H466" s="43"/>
      <c r="I466" s="23"/>
      <c r="J466" s="25" t="str">
        <f t="shared" si="14"/>
        <v/>
      </c>
      <c r="K466" s="25" t="str">
        <f t="shared" si="15"/>
        <v/>
      </c>
      <c r="L466" s="22"/>
      <c r="M466" s="23"/>
      <c r="N466" s="20"/>
      <c r="O466" s="16"/>
    </row>
    <row r="467" spans="1:15" s="6" customFormat="1" ht="14.1" customHeight="1">
      <c r="A467" s="132"/>
      <c r="B467" s="133"/>
      <c r="C467" s="43"/>
      <c r="D467" s="43"/>
      <c r="E467" s="43"/>
      <c r="F467" s="22"/>
      <c r="G467" s="43"/>
      <c r="H467" s="43"/>
      <c r="I467" s="23"/>
      <c r="J467" s="25" t="str">
        <f t="shared" si="14"/>
        <v/>
      </c>
      <c r="K467" s="25" t="str">
        <f t="shared" si="15"/>
        <v/>
      </c>
      <c r="L467" s="22"/>
      <c r="M467" s="23"/>
      <c r="N467" s="20"/>
      <c r="O467" s="16"/>
    </row>
    <row r="468" spans="1:15" s="6" customFormat="1" ht="14.1" customHeight="1">
      <c r="A468" s="132"/>
      <c r="B468" s="133"/>
      <c r="C468" s="43"/>
      <c r="D468" s="43"/>
      <c r="E468" s="43"/>
      <c r="F468" s="22"/>
      <c r="G468" s="43"/>
      <c r="H468" s="43"/>
      <c r="I468" s="23"/>
      <c r="J468" s="25" t="str">
        <f t="shared" si="14"/>
        <v/>
      </c>
      <c r="K468" s="25" t="str">
        <f t="shared" si="15"/>
        <v/>
      </c>
      <c r="L468" s="22"/>
      <c r="M468" s="23"/>
      <c r="N468" s="20"/>
      <c r="O468" s="16"/>
    </row>
    <row r="469" spans="1:15" s="6" customFormat="1" ht="14.1" customHeight="1">
      <c r="A469" s="132"/>
      <c r="B469" s="133"/>
      <c r="C469" s="43"/>
      <c r="D469" s="43"/>
      <c r="E469" s="43"/>
      <c r="F469" s="22"/>
      <c r="G469" s="43"/>
      <c r="H469" s="43"/>
      <c r="I469" s="23"/>
      <c r="J469" s="25" t="str">
        <f t="shared" si="14"/>
        <v/>
      </c>
      <c r="K469" s="25" t="str">
        <f t="shared" si="15"/>
        <v/>
      </c>
      <c r="L469" s="22"/>
      <c r="M469" s="23"/>
      <c r="N469" s="20"/>
      <c r="O469" s="16"/>
    </row>
    <row r="470" spans="1:15" s="6" customFormat="1" ht="14.1" customHeight="1">
      <c r="A470" s="132"/>
      <c r="B470" s="133"/>
      <c r="C470" s="43"/>
      <c r="D470" s="43"/>
      <c r="E470" s="43"/>
      <c r="F470" s="22"/>
      <c r="G470" s="43"/>
      <c r="H470" s="43"/>
      <c r="I470" s="23"/>
      <c r="J470" s="25" t="str">
        <f t="shared" si="14"/>
        <v/>
      </c>
      <c r="K470" s="25" t="str">
        <f t="shared" si="15"/>
        <v/>
      </c>
      <c r="L470" s="22"/>
      <c r="M470" s="23"/>
      <c r="N470" s="20"/>
      <c r="O470" s="16"/>
    </row>
    <row r="471" spans="1:15" s="6" customFormat="1" ht="14.1" customHeight="1">
      <c r="A471" s="132"/>
      <c r="B471" s="133"/>
      <c r="C471" s="43"/>
      <c r="D471" s="43"/>
      <c r="E471" s="43"/>
      <c r="F471" s="22"/>
      <c r="G471" s="43"/>
      <c r="H471" s="43"/>
      <c r="I471" s="23"/>
      <c r="J471" s="25" t="str">
        <f t="shared" si="14"/>
        <v/>
      </c>
      <c r="K471" s="25" t="str">
        <f t="shared" si="15"/>
        <v/>
      </c>
      <c r="L471" s="22"/>
      <c r="M471" s="23"/>
      <c r="N471" s="20"/>
      <c r="O471" s="16"/>
    </row>
    <row r="472" spans="1:15" s="6" customFormat="1" ht="14.1" customHeight="1">
      <c r="A472" s="132"/>
      <c r="B472" s="133"/>
      <c r="C472" s="43"/>
      <c r="D472" s="43"/>
      <c r="E472" s="43"/>
      <c r="F472" s="22"/>
      <c r="G472" s="43"/>
      <c r="H472" s="43"/>
      <c r="I472" s="23"/>
      <c r="J472" s="25" t="str">
        <f t="shared" si="14"/>
        <v/>
      </c>
      <c r="K472" s="25" t="str">
        <f t="shared" si="15"/>
        <v/>
      </c>
      <c r="L472" s="22"/>
      <c r="M472" s="23"/>
      <c r="N472" s="20"/>
      <c r="O472" s="16"/>
    </row>
    <row r="473" spans="1:15" s="6" customFormat="1" ht="14.1" customHeight="1">
      <c r="A473" s="132"/>
      <c r="B473" s="133"/>
      <c r="C473" s="43"/>
      <c r="D473" s="43"/>
      <c r="E473" s="43"/>
      <c r="F473" s="22"/>
      <c r="G473" s="43"/>
      <c r="H473" s="43"/>
      <c r="I473" s="23"/>
      <c r="J473" s="25" t="str">
        <f t="shared" si="14"/>
        <v/>
      </c>
      <c r="K473" s="25" t="str">
        <f t="shared" si="15"/>
        <v/>
      </c>
      <c r="L473" s="22"/>
      <c r="M473" s="23"/>
      <c r="N473" s="20"/>
      <c r="O473" s="16"/>
    </row>
    <row r="474" spans="1:15" s="6" customFormat="1" ht="14.1" customHeight="1">
      <c r="A474" s="132"/>
      <c r="B474" s="133"/>
      <c r="C474" s="43"/>
      <c r="D474" s="43"/>
      <c r="E474" s="43"/>
      <c r="F474" s="22"/>
      <c r="G474" s="43"/>
      <c r="H474" s="43"/>
      <c r="I474" s="23"/>
      <c r="J474" s="25" t="str">
        <f t="shared" si="14"/>
        <v/>
      </c>
      <c r="K474" s="25" t="str">
        <f t="shared" si="15"/>
        <v/>
      </c>
      <c r="L474" s="22"/>
      <c r="M474" s="23"/>
      <c r="N474" s="20"/>
      <c r="O474" s="16"/>
    </row>
    <row r="475" spans="1:15" s="6" customFormat="1" ht="14.1" customHeight="1">
      <c r="A475" s="132"/>
      <c r="B475" s="133"/>
      <c r="C475" s="43"/>
      <c r="D475" s="43"/>
      <c r="E475" s="43"/>
      <c r="F475" s="22"/>
      <c r="G475" s="43"/>
      <c r="H475" s="43"/>
      <c r="I475" s="23"/>
      <c r="J475" s="25" t="str">
        <f t="shared" si="14"/>
        <v/>
      </c>
      <c r="K475" s="25" t="str">
        <f t="shared" si="15"/>
        <v/>
      </c>
      <c r="L475" s="22"/>
      <c r="M475" s="23"/>
      <c r="N475" s="20"/>
      <c r="O475" s="16"/>
    </row>
    <row r="476" spans="1:15" s="6" customFormat="1" ht="14.1" customHeight="1">
      <c r="A476" s="132"/>
      <c r="B476" s="133"/>
      <c r="C476" s="43"/>
      <c r="D476" s="43"/>
      <c r="E476" s="43"/>
      <c r="F476" s="22"/>
      <c r="G476" s="43"/>
      <c r="H476" s="43"/>
      <c r="I476" s="23"/>
      <c r="J476" s="25" t="str">
        <f t="shared" si="14"/>
        <v/>
      </c>
      <c r="K476" s="25" t="str">
        <f t="shared" si="15"/>
        <v/>
      </c>
      <c r="L476" s="22"/>
      <c r="M476" s="23"/>
      <c r="N476" s="20"/>
      <c r="O476" s="16"/>
    </row>
    <row r="477" spans="1:15" s="6" customFormat="1" ht="14.1" customHeight="1">
      <c r="A477" s="132"/>
      <c r="B477" s="133"/>
      <c r="C477" s="43"/>
      <c r="D477" s="43"/>
      <c r="E477" s="43"/>
      <c r="F477" s="22"/>
      <c r="G477" s="43"/>
      <c r="H477" s="43"/>
      <c r="I477" s="23"/>
      <c r="J477" s="25" t="str">
        <f t="shared" si="14"/>
        <v/>
      </c>
      <c r="K477" s="25" t="str">
        <f t="shared" si="15"/>
        <v/>
      </c>
      <c r="L477" s="22"/>
      <c r="M477" s="23"/>
      <c r="N477" s="20"/>
      <c r="O477" s="16"/>
    </row>
    <row r="478" spans="1:15" s="6" customFormat="1" ht="14.1" customHeight="1">
      <c r="A478" s="132"/>
      <c r="B478" s="133"/>
      <c r="C478" s="43"/>
      <c r="D478" s="43"/>
      <c r="E478" s="43"/>
      <c r="F478" s="22"/>
      <c r="G478" s="43"/>
      <c r="H478" s="43"/>
      <c r="I478" s="23"/>
      <c r="J478" s="25" t="str">
        <f t="shared" si="14"/>
        <v/>
      </c>
      <c r="K478" s="25" t="str">
        <f t="shared" si="15"/>
        <v/>
      </c>
      <c r="L478" s="22"/>
      <c r="M478" s="23"/>
      <c r="N478" s="20"/>
      <c r="O478" s="16"/>
    </row>
    <row r="479" spans="1:15" s="6" customFormat="1" ht="14.1" customHeight="1">
      <c r="A479" s="132"/>
      <c r="B479" s="133"/>
      <c r="C479" s="43"/>
      <c r="D479" s="43"/>
      <c r="E479" s="43"/>
      <c r="F479" s="22"/>
      <c r="G479" s="43"/>
      <c r="H479" s="43"/>
      <c r="I479" s="23"/>
      <c r="J479" s="25" t="str">
        <f t="shared" si="14"/>
        <v/>
      </c>
      <c r="K479" s="25" t="str">
        <f t="shared" si="15"/>
        <v/>
      </c>
      <c r="L479" s="22"/>
      <c r="M479" s="23"/>
      <c r="N479" s="20"/>
      <c r="O479" s="16"/>
    </row>
    <row r="480" spans="1:15" s="6" customFormat="1" ht="14.1" customHeight="1">
      <c r="A480" s="132"/>
      <c r="B480" s="133"/>
      <c r="C480" s="43"/>
      <c r="D480" s="43"/>
      <c r="E480" s="43"/>
      <c r="F480" s="22"/>
      <c r="G480" s="43"/>
      <c r="H480" s="43"/>
      <c r="I480" s="23"/>
      <c r="J480" s="25" t="str">
        <f t="shared" si="14"/>
        <v/>
      </c>
      <c r="K480" s="25" t="str">
        <f t="shared" si="15"/>
        <v/>
      </c>
      <c r="L480" s="22"/>
      <c r="M480" s="23"/>
      <c r="N480" s="20"/>
      <c r="O480" s="16"/>
    </row>
    <row r="481" spans="1:15" s="6" customFormat="1" ht="14.1" customHeight="1">
      <c r="A481" s="132"/>
      <c r="B481" s="133"/>
      <c r="C481" s="43"/>
      <c r="D481" s="43"/>
      <c r="E481" s="43"/>
      <c r="F481" s="22"/>
      <c r="G481" s="43"/>
      <c r="H481" s="43"/>
      <c r="I481" s="23"/>
      <c r="J481" s="25" t="str">
        <f t="shared" si="14"/>
        <v/>
      </c>
      <c r="K481" s="25" t="str">
        <f t="shared" si="15"/>
        <v/>
      </c>
      <c r="L481" s="22"/>
      <c r="M481" s="23"/>
      <c r="N481" s="20"/>
      <c r="O481" s="16"/>
    </row>
    <row r="482" spans="1:15" s="6" customFormat="1" ht="14.1" customHeight="1">
      <c r="A482" s="132"/>
      <c r="B482" s="133"/>
      <c r="C482" s="43"/>
      <c r="D482" s="43"/>
      <c r="E482" s="43"/>
      <c r="F482" s="22"/>
      <c r="G482" s="43"/>
      <c r="H482" s="43"/>
      <c r="I482" s="23"/>
      <c r="J482" s="25" t="str">
        <f t="shared" si="14"/>
        <v/>
      </c>
      <c r="K482" s="25" t="str">
        <f t="shared" si="15"/>
        <v/>
      </c>
      <c r="L482" s="22"/>
      <c r="M482" s="23"/>
      <c r="N482" s="20"/>
      <c r="O482" s="16"/>
    </row>
    <row r="483" spans="1:15" s="6" customFormat="1" ht="14.1" customHeight="1">
      <c r="A483" s="132"/>
      <c r="B483" s="133"/>
      <c r="C483" s="43"/>
      <c r="D483" s="43"/>
      <c r="E483" s="43"/>
      <c r="F483" s="22"/>
      <c r="G483" s="43"/>
      <c r="H483" s="43"/>
      <c r="I483" s="23"/>
      <c r="J483" s="25" t="str">
        <f t="shared" si="14"/>
        <v/>
      </c>
      <c r="K483" s="25" t="str">
        <f t="shared" si="15"/>
        <v/>
      </c>
      <c r="L483" s="22"/>
      <c r="M483" s="23"/>
      <c r="N483" s="20"/>
      <c r="O483" s="16"/>
    </row>
    <row r="484" spans="1:15" s="6" customFormat="1" ht="14.1" customHeight="1">
      <c r="A484" s="132"/>
      <c r="B484" s="133"/>
      <c r="C484" s="43"/>
      <c r="D484" s="43"/>
      <c r="E484" s="43"/>
      <c r="F484" s="22"/>
      <c r="G484" s="43"/>
      <c r="H484" s="43"/>
      <c r="I484" s="23"/>
      <c r="J484" s="25" t="str">
        <f t="shared" si="14"/>
        <v/>
      </c>
      <c r="K484" s="25" t="str">
        <f t="shared" si="15"/>
        <v/>
      </c>
      <c r="L484" s="22"/>
      <c r="M484" s="23"/>
      <c r="N484" s="20"/>
      <c r="O484" s="16"/>
    </row>
    <row r="485" spans="1:15" s="6" customFormat="1" ht="14.1" customHeight="1">
      <c r="A485" s="132"/>
      <c r="B485" s="133"/>
      <c r="C485" s="43"/>
      <c r="D485" s="43"/>
      <c r="E485" s="43"/>
      <c r="F485" s="22"/>
      <c r="G485" s="43"/>
      <c r="H485" s="43"/>
      <c r="I485" s="23"/>
      <c r="J485" s="25" t="str">
        <f t="shared" si="14"/>
        <v/>
      </c>
      <c r="K485" s="25" t="str">
        <f t="shared" si="15"/>
        <v/>
      </c>
      <c r="L485" s="22"/>
      <c r="M485" s="23"/>
      <c r="N485" s="20"/>
      <c r="O485" s="16"/>
    </row>
    <row r="486" spans="1:15" s="6" customFormat="1" ht="14.1" customHeight="1">
      <c r="A486" s="132"/>
      <c r="B486" s="133"/>
      <c r="C486" s="43"/>
      <c r="D486" s="43"/>
      <c r="E486" s="43"/>
      <c r="F486" s="22"/>
      <c r="G486" s="43"/>
      <c r="H486" s="43"/>
      <c r="I486" s="23"/>
      <c r="J486" s="25" t="str">
        <f t="shared" si="14"/>
        <v/>
      </c>
      <c r="K486" s="25" t="str">
        <f t="shared" si="15"/>
        <v/>
      </c>
      <c r="L486" s="22"/>
      <c r="M486" s="23"/>
      <c r="N486" s="20"/>
      <c r="O486" s="16"/>
    </row>
    <row r="487" spans="1:15" s="6" customFormat="1" ht="14.1" customHeight="1">
      <c r="A487" s="132"/>
      <c r="B487" s="133"/>
      <c r="C487" s="43"/>
      <c r="D487" s="43"/>
      <c r="E487" s="43"/>
      <c r="F487" s="22"/>
      <c r="G487" s="43"/>
      <c r="H487" s="43"/>
      <c r="I487" s="23"/>
      <c r="J487" s="25" t="str">
        <f t="shared" si="14"/>
        <v/>
      </c>
      <c r="K487" s="25" t="str">
        <f t="shared" si="15"/>
        <v/>
      </c>
      <c r="L487" s="22"/>
      <c r="M487" s="23"/>
      <c r="N487" s="20"/>
      <c r="O487" s="16"/>
    </row>
    <row r="488" spans="1:15" s="6" customFormat="1" ht="14.1" customHeight="1">
      <c r="A488" s="132"/>
      <c r="B488" s="133"/>
      <c r="C488" s="43"/>
      <c r="D488" s="43"/>
      <c r="E488" s="43"/>
      <c r="F488" s="22"/>
      <c r="G488" s="43"/>
      <c r="H488" s="43"/>
      <c r="I488" s="23"/>
      <c r="J488" s="25" t="str">
        <f t="shared" si="14"/>
        <v/>
      </c>
      <c r="K488" s="25" t="str">
        <f t="shared" si="15"/>
        <v/>
      </c>
      <c r="L488" s="22"/>
      <c r="M488" s="23"/>
      <c r="N488" s="20"/>
      <c r="O488" s="16"/>
    </row>
    <row r="489" spans="1:15" s="6" customFormat="1" ht="14.1" customHeight="1">
      <c r="A489" s="132"/>
      <c r="B489" s="133"/>
      <c r="C489" s="43"/>
      <c r="D489" s="43"/>
      <c r="E489" s="43"/>
      <c r="F489" s="22"/>
      <c r="G489" s="43"/>
      <c r="H489" s="43"/>
      <c r="I489" s="23"/>
      <c r="J489" s="25" t="str">
        <f t="shared" si="14"/>
        <v/>
      </c>
      <c r="K489" s="25" t="str">
        <f t="shared" si="15"/>
        <v/>
      </c>
      <c r="L489" s="22"/>
      <c r="M489" s="23"/>
      <c r="N489" s="20"/>
      <c r="O489" s="16"/>
    </row>
    <row r="490" spans="1:15" s="6" customFormat="1" ht="14.1" customHeight="1">
      <c r="A490" s="132"/>
      <c r="B490" s="133"/>
      <c r="C490" s="43"/>
      <c r="D490" s="43"/>
      <c r="E490" s="43"/>
      <c r="F490" s="22"/>
      <c r="G490" s="43"/>
      <c r="H490" s="43"/>
      <c r="I490" s="23"/>
      <c r="J490" s="25" t="str">
        <f t="shared" si="14"/>
        <v/>
      </c>
      <c r="K490" s="25" t="str">
        <f t="shared" si="15"/>
        <v/>
      </c>
      <c r="L490" s="22"/>
      <c r="M490" s="23"/>
      <c r="N490" s="20"/>
      <c r="O490" s="16"/>
    </row>
    <row r="491" spans="1:15" s="6" customFormat="1" ht="14.1" customHeight="1">
      <c r="A491" s="132"/>
      <c r="B491" s="133"/>
      <c r="C491" s="43"/>
      <c r="D491" s="43"/>
      <c r="E491" s="43"/>
      <c r="F491" s="22"/>
      <c r="G491" s="43"/>
      <c r="H491" s="43"/>
      <c r="I491" s="23"/>
      <c r="J491" s="25" t="str">
        <f t="shared" si="14"/>
        <v/>
      </c>
      <c r="K491" s="25" t="str">
        <f t="shared" si="15"/>
        <v/>
      </c>
      <c r="L491" s="22"/>
      <c r="M491" s="23"/>
      <c r="N491" s="20"/>
      <c r="O491" s="16"/>
    </row>
    <row r="492" spans="1:15" s="6" customFormat="1" ht="14.1" customHeight="1">
      <c r="A492" s="132"/>
      <c r="B492" s="133"/>
      <c r="C492" s="43"/>
      <c r="D492" s="43"/>
      <c r="E492" s="43"/>
      <c r="F492" s="22"/>
      <c r="G492" s="43"/>
      <c r="H492" s="43"/>
      <c r="I492" s="23"/>
      <c r="J492" s="25" t="str">
        <f t="shared" si="14"/>
        <v/>
      </c>
      <c r="K492" s="25" t="str">
        <f t="shared" si="15"/>
        <v/>
      </c>
      <c r="L492" s="22"/>
      <c r="M492" s="23"/>
      <c r="N492" s="20"/>
      <c r="O492" s="16"/>
    </row>
    <row r="493" spans="1:15" s="6" customFormat="1" ht="14.1" customHeight="1">
      <c r="A493" s="132"/>
      <c r="B493" s="133"/>
      <c r="C493" s="43"/>
      <c r="D493" s="43"/>
      <c r="E493" s="43"/>
      <c r="F493" s="22"/>
      <c r="G493" s="43"/>
      <c r="H493" s="43"/>
      <c r="I493" s="23"/>
      <c r="J493" s="25" t="str">
        <f t="shared" si="14"/>
        <v/>
      </c>
      <c r="K493" s="25" t="str">
        <f t="shared" si="15"/>
        <v/>
      </c>
      <c r="L493" s="22"/>
      <c r="M493" s="23"/>
      <c r="N493" s="20"/>
      <c r="O493" s="16"/>
    </row>
    <row r="494" spans="1:15" s="6" customFormat="1" ht="14.1" customHeight="1">
      <c r="A494" s="132"/>
      <c r="B494" s="133"/>
      <c r="C494" s="43"/>
      <c r="D494" s="43"/>
      <c r="E494" s="43"/>
      <c r="F494" s="22"/>
      <c r="G494" s="43"/>
      <c r="H494" s="43"/>
      <c r="I494" s="23"/>
      <c r="J494" s="25" t="str">
        <f t="shared" si="14"/>
        <v/>
      </c>
      <c r="K494" s="25" t="str">
        <f t="shared" si="15"/>
        <v/>
      </c>
      <c r="L494" s="22"/>
      <c r="M494" s="23"/>
      <c r="N494" s="20"/>
      <c r="O494" s="16"/>
    </row>
    <row r="495" spans="1:15" s="6" customFormat="1" ht="14.1" customHeight="1">
      <c r="A495" s="132"/>
      <c r="B495" s="133"/>
      <c r="C495" s="43"/>
      <c r="D495" s="43"/>
      <c r="E495" s="43"/>
      <c r="F495" s="22"/>
      <c r="G495" s="43"/>
      <c r="H495" s="43"/>
      <c r="I495" s="23"/>
      <c r="J495" s="25" t="str">
        <f t="shared" si="14"/>
        <v/>
      </c>
      <c r="K495" s="25" t="str">
        <f t="shared" si="15"/>
        <v/>
      </c>
      <c r="L495" s="22"/>
      <c r="M495" s="23"/>
      <c r="N495" s="20"/>
      <c r="O495" s="16"/>
    </row>
    <row r="496" spans="1:15" s="6" customFormat="1" ht="14.1" customHeight="1">
      <c r="A496" s="132"/>
      <c r="B496" s="133"/>
      <c r="C496" s="43"/>
      <c r="D496" s="43"/>
      <c r="E496" s="43"/>
      <c r="F496" s="22"/>
      <c r="G496" s="43"/>
      <c r="H496" s="43"/>
      <c r="I496" s="23"/>
      <c r="J496" s="25" t="str">
        <f t="shared" si="14"/>
        <v/>
      </c>
      <c r="K496" s="25" t="str">
        <f t="shared" si="15"/>
        <v/>
      </c>
      <c r="L496" s="22"/>
      <c r="M496" s="23"/>
      <c r="N496" s="20"/>
      <c r="O496" s="16"/>
    </row>
    <row r="497" spans="1:15" s="6" customFormat="1" ht="14.1" customHeight="1">
      <c r="A497" s="132"/>
      <c r="B497" s="133"/>
      <c r="C497" s="43"/>
      <c r="D497" s="43"/>
      <c r="E497" s="43"/>
      <c r="F497" s="22"/>
      <c r="G497" s="43"/>
      <c r="H497" s="43"/>
      <c r="I497" s="23"/>
      <c r="J497" s="25" t="str">
        <f t="shared" si="14"/>
        <v/>
      </c>
      <c r="K497" s="25" t="str">
        <f t="shared" si="15"/>
        <v/>
      </c>
      <c r="L497" s="22"/>
      <c r="M497" s="23"/>
      <c r="N497" s="20"/>
      <c r="O497" s="16"/>
    </row>
    <row r="498" spans="1:15" s="6" customFormat="1" ht="14.1" customHeight="1">
      <c r="A498" s="132"/>
      <c r="B498" s="133"/>
      <c r="C498" s="43"/>
      <c r="D498" s="43"/>
      <c r="E498" s="43"/>
      <c r="F498" s="22"/>
      <c r="G498" s="43"/>
      <c r="H498" s="43"/>
      <c r="I498" s="23"/>
      <c r="J498" s="25" t="str">
        <f t="shared" si="14"/>
        <v/>
      </c>
      <c r="K498" s="25" t="str">
        <f t="shared" si="15"/>
        <v/>
      </c>
      <c r="L498" s="22"/>
      <c r="M498" s="23"/>
      <c r="N498" s="20"/>
      <c r="O498" s="16"/>
    </row>
    <row r="499" spans="1:15" s="6" customFormat="1" ht="14.1" customHeight="1">
      <c r="A499" s="132"/>
      <c r="B499" s="133"/>
      <c r="C499" s="43"/>
      <c r="D499" s="43"/>
      <c r="E499" s="43"/>
      <c r="F499" s="22"/>
      <c r="G499" s="43"/>
      <c r="H499" s="43"/>
      <c r="I499" s="23"/>
      <c r="J499" s="25" t="str">
        <f t="shared" si="14"/>
        <v/>
      </c>
      <c r="K499" s="25" t="str">
        <f t="shared" si="15"/>
        <v/>
      </c>
      <c r="L499" s="22"/>
      <c r="M499" s="23"/>
      <c r="N499" s="20"/>
      <c r="O499" s="16"/>
    </row>
    <row r="500" spans="1:15" s="6" customFormat="1" ht="14.1" customHeight="1">
      <c r="A500" s="132"/>
      <c r="B500" s="133"/>
      <c r="C500" s="43"/>
      <c r="D500" s="43"/>
      <c r="E500" s="43"/>
      <c r="F500" s="22"/>
      <c r="G500" s="43"/>
      <c r="H500" s="43"/>
      <c r="I500" s="23"/>
      <c r="J500" s="25" t="str">
        <f t="shared" si="14"/>
        <v/>
      </c>
      <c r="K500" s="25" t="str">
        <f t="shared" si="15"/>
        <v/>
      </c>
      <c r="L500" s="22"/>
      <c r="M500" s="23"/>
      <c r="N500" s="20"/>
      <c r="O500" s="16"/>
    </row>
    <row r="501" spans="1:15" s="6" customFormat="1" ht="14.1" customHeight="1">
      <c r="A501" s="132"/>
      <c r="B501" s="133"/>
      <c r="C501" s="43"/>
      <c r="D501" s="43"/>
      <c r="E501" s="43"/>
      <c r="F501" s="22"/>
      <c r="G501" s="43"/>
      <c r="H501" s="43"/>
      <c r="I501" s="23"/>
      <c r="J501" s="25" t="str">
        <f t="shared" si="14"/>
        <v/>
      </c>
      <c r="K501" s="25" t="str">
        <f t="shared" si="15"/>
        <v/>
      </c>
      <c r="L501" s="22"/>
      <c r="M501" s="23"/>
      <c r="N501" s="20"/>
      <c r="O501" s="16"/>
    </row>
    <row r="502" spans="1:15" s="6" customFormat="1" ht="14.1" customHeight="1">
      <c r="A502" s="132"/>
      <c r="B502" s="133"/>
      <c r="C502" s="43"/>
      <c r="D502" s="43"/>
      <c r="E502" s="43"/>
      <c r="F502" s="22"/>
      <c r="G502" s="43"/>
      <c r="H502" s="43"/>
      <c r="I502" s="23"/>
      <c r="J502" s="25" t="str">
        <f t="shared" si="14"/>
        <v/>
      </c>
      <c r="K502" s="25" t="str">
        <f t="shared" si="15"/>
        <v/>
      </c>
      <c r="L502" s="22"/>
      <c r="M502" s="23"/>
      <c r="N502" s="20"/>
      <c r="O502" s="16"/>
    </row>
    <row r="503" spans="1:15" s="6" customFormat="1" ht="14.1" customHeight="1">
      <c r="A503" s="132"/>
      <c r="B503" s="133"/>
      <c r="C503" s="43"/>
      <c r="D503" s="43"/>
      <c r="E503" s="43"/>
      <c r="F503" s="22"/>
      <c r="G503" s="43"/>
      <c r="H503" s="43"/>
      <c r="I503" s="23"/>
      <c r="J503" s="25" t="str">
        <f t="shared" si="14"/>
        <v/>
      </c>
      <c r="K503" s="25" t="str">
        <f t="shared" si="15"/>
        <v/>
      </c>
      <c r="L503" s="22"/>
      <c r="M503" s="23"/>
      <c r="N503" s="20"/>
      <c r="O503" s="16"/>
    </row>
    <row r="504" spans="1:15" s="6" customFormat="1" ht="14.1" customHeight="1">
      <c r="A504" s="132"/>
      <c r="B504" s="133"/>
      <c r="C504" s="43"/>
      <c r="D504" s="43"/>
      <c r="E504" s="43"/>
      <c r="F504" s="22"/>
      <c r="G504" s="43"/>
      <c r="H504" s="43"/>
      <c r="I504" s="23"/>
      <c r="J504" s="25" t="str">
        <f t="shared" si="14"/>
        <v/>
      </c>
      <c r="K504" s="25" t="str">
        <f t="shared" si="15"/>
        <v/>
      </c>
      <c r="L504" s="22"/>
      <c r="M504" s="23"/>
      <c r="N504" s="20"/>
      <c r="O504" s="16"/>
    </row>
    <row r="505" spans="1:15" s="6" customFormat="1" ht="14.1" customHeight="1">
      <c r="A505" s="132"/>
      <c r="B505" s="133"/>
      <c r="C505" s="43"/>
      <c r="D505" s="43"/>
      <c r="E505" s="43"/>
      <c r="F505" s="22"/>
      <c r="G505" s="43"/>
      <c r="H505" s="43"/>
      <c r="I505" s="23"/>
      <c r="J505" s="25" t="str">
        <f t="shared" si="14"/>
        <v/>
      </c>
      <c r="K505" s="25" t="str">
        <f t="shared" si="15"/>
        <v/>
      </c>
      <c r="L505" s="22"/>
      <c r="M505" s="23"/>
      <c r="N505" s="20"/>
      <c r="O505" s="16"/>
    </row>
    <row r="506" spans="1:15" s="6" customFormat="1" ht="14.1" customHeight="1">
      <c r="A506" s="132"/>
      <c r="B506" s="133"/>
      <c r="C506" s="43"/>
      <c r="D506" s="43"/>
      <c r="E506" s="43"/>
      <c r="F506" s="22"/>
      <c r="G506" s="43"/>
      <c r="H506" s="43"/>
      <c r="I506" s="23"/>
      <c r="J506" s="25" t="str">
        <f t="shared" si="14"/>
        <v/>
      </c>
      <c r="K506" s="25" t="str">
        <f t="shared" si="15"/>
        <v/>
      </c>
      <c r="L506" s="22"/>
      <c r="M506" s="23"/>
      <c r="N506" s="20"/>
      <c r="O506" s="16"/>
    </row>
    <row r="507" spans="1:15" s="6" customFormat="1" ht="14.1" customHeight="1">
      <c r="A507" s="132"/>
      <c r="B507" s="133"/>
      <c r="C507" s="43"/>
      <c r="D507" s="43"/>
      <c r="E507" s="43"/>
      <c r="F507" s="22"/>
      <c r="G507" s="43"/>
      <c r="H507" s="43"/>
      <c r="I507" s="23"/>
      <c r="J507" s="25" t="str">
        <f t="shared" si="14"/>
        <v/>
      </c>
      <c r="K507" s="25" t="str">
        <f t="shared" si="15"/>
        <v/>
      </c>
      <c r="L507" s="22"/>
      <c r="M507" s="23"/>
      <c r="N507" s="20"/>
      <c r="O507" s="16"/>
    </row>
    <row r="508" spans="1:15" s="6" customFormat="1" ht="14.1" customHeight="1">
      <c r="A508" s="132"/>
      <c r="B508" s="133"/>
      <c r="C508" s="43"/>
      <c r="D508" s="43"/>
      <c r="E508" s="43"/>
      <c r="F508" s="22"/>
      <c r="G508" s="43"/>
      <c r="H508" s="43"/>
      <c r="I508" s="23"/>
      <c r="J508" s="25" t="str">
        <f t="shared" si="14"/>
        <v/>
      </c>
      <c r="K508" s="25" t="str">
        <f t="shared" si="15"/>
        <v/>
      </c>
      <c r="L508" s="22"/>
      <c r="M508" s="23"/>
      <c r="N508" s="20"/>
      <c r="O508" s="16"/>
    </row>
    <row r="509" spans="1:15" s="6" customFormat="1" ht="14.1" customHeight="1">
      <c r="A509" s="132"/>
      <c r="B509" s="133"/>
      <c r="C509" s="43"/>
      <c r="D509" s="43"/>
      <c r="E509" s="43"/>
      <c r="F509" s="22"/>
      <c r="G509" s="43"/>
      <c r="H509" s="43"/>
      <c r="I509" s="23"/>
      <c r="J509" s="25" t="str">
        <f t="shared" si="14"/>
        <v/>
      </c>
      <c r="K509" s="25" t="str">
        <f t="shared" si="15"/>
        <v/>
      </c>
      <c r="L509" s="22"/>
      <c r="M509" s="23"/>
      <c r="N509" s="20"/>
      <c r="O509" s="16"/>
    </row>
    <row r="510" spans="1:15" s="6" customFormat="1" ht="14.1" customHeight="1">
      <c r="A510" s="132"/>
      <c r="B510" s="133"/>
      <c r="C510" s="43"/>
      <c r="D510" s="43"/>
      <c r="E510" s="43"/>
      <c r="F510" s="22"/>
      <c r="G510" s="43"/>
      <c r="H510" s="43"/>
      <c r="I510" s="23"/>
      <c r="J510" s="25" t="str">
        <f t="shared" si="14"/>
        <v/>
      </c>
      <c r="K510" s="25" t="str">
        <f t="shared" si="15"/>
        <v/>
      </c>
      <c r="L510" s="22"/>
      <c r="M510" s="23"/>
      <c r="N510" s="20"/>
      <c r="O510" s="16"/>
    </row>
    <row r="511" spans="1:15" s="6" customFormat="1" ht="14.1" customHeight="1">
      <c r="A511" s="132"/>
      <c r="B511" s="133"/>
      <c r="C511" s="43"/>
      <c r="D511" s="43"/>
      <c r="E511" s="43"/>
      <c r="F511" s="22"/>
      <c r="G511" s="43"/>
      <c r="H511" s="43"/>
      <c r="I511" s="23"/>
      <c r="J511" s="25" t="str">
        <f t="shared" si="14"/>
        <v/>
      </c>
      <c r="K511" s="25" t="str">
        <f t="shared" si="15"/>
        <v/>
      </c>
      <c r="L511" s="22"/>
      <c r="M511" s="23"/>
      <c r="N511" s="20"/>
      <c r="O511" s="16"/>
    </row>
    <row r="512" spans="1:15" s="6" customFormat="1" ht="14.1" customHeight="1">
      <c r="A512" s="132"/>
      <c r="B512" s="133"/>
      <c r="C512" s="43"/>
      <c r="D512" s="43"/>
      <c r="E512" s="43"/>
      <c r="F512" s="22"/>
      <c r="G512" s="43"/>
      <c r="H512" s="43"/>
      <c r="I512" s="23"/>
      <c r="J512" s="25" t="str">
        <f t="shared" si="14"/>
        <v/>
      </c>
      <c r="K512" s="25" t="str">
        <f t="shared" si="15"/>
        <v/>
      </c>
      <c r="L512" s="22"/>
      <c r="M512" s="23"/>
      <c r="N512" s="20"/>
      <c r="O512" s="16"/>
    </row>
    <row r="513" spans="1:15" s="6" customFormat="1" ht="14.1" customHeight="1">
      <c r="A513" s="132"/>
      <c r="B513" s="133"/>
      <c r="C513" s="43"/>
      <c r="D513" s="43"/>
      <c r="E513" s="43"/>
      <c r="F513" s="22"/>
      <c r="G513" s="43"/>
      <c r="H513" s="43"/>
      <c r="I513" s="23"/>
      <c r="J513" s="25" t="str">
        <f t="shared" si="14"/>
        <v/>
      </c>
      <c r="K513" s="25" t="str">
        <f t="shared" si="15"/>
        <v/>
      </c>
      <c r="L513" s="22"/>
      <c r="M513" s="23"/>
      <c r="N513" s="20"/>
      <c r="O513" s="16"/>
    </row>
    <row r="514" spans="1:15" s="6" customFormat="1" ht="14.1" customHeight="1">
      <c r="A514" s="132"/>
      <c r="B514" s="133"/>
      <c r="C514" s="43"/>
      <c r="D514" s="43"/>
      <c r="E514" s="43"/>
      <c r="F514" s="22"/>
      <c r="G514" s="43"/>
      <c r="H514" s="43"/>
      <c r="I514" s="23"/>
      <c r="J514" s="25" t="str">
        <f t="shared" si="14"/>
        <v/>
      </c>
      <c r="K514" s="25" t="str">
        <f t="shared" si="15"/>
        <v/>
      </c>
      <c r="L514" s="22"/>
      <c r="M514" s="23"/>
      <c r="N514" s="20"/>
      <c r="O514" s="16"/>
    </row>
    <row r="515" spans="1:15" s="6" customFormat="1" ht="14.1" customHeight="1">
      <c r="A515" s="132"/>
      <c r="B515" s="133"/>
      <c r="C515" s="43"/>
      <c r="D515" s="43"/>
      <c r="E515" s="43"/>
      <c r="F515" s="22"/>
      <c r="G515" s="43"/>
      <c r="H515" s="43"/>
      <c r="I515" s="23"/>
      <c r="J515" s="25" t="str">
        <f t="shared" si="14"/>
        <v/>
      </c>
      <c r="K515" s="25" t="str">
        <f t="shared" si="15"/>
        <v/>
      </c>
      <c r="L515" s="22"/>
      <c r="M515" s="23"/>
      <c r="N515" s="20"/>
      <c r="O515" s="16"/>
    </row>
    <row r="516" spans="1:15" s="6" customFormat="1" ht="14.1" customHeight="1">
      <c r="A516" s="132"/>
      <c r="B516" s="133"/>
      <c r="C516" s="43"/>
      <c r="D516" s="43"/>
      <c r="E516" s="43"/>
      <c r="F516" s="22"/>
      <c r="G516" s="43"/>
      <c r="H516" s="43"/>
      <c r="I516" s="23"/>
      <c r="J516" s="25" t="str">
        <f t="shared" si="14"/>
        <v/>
      </c>
      <c r="K516" s="25" t="str">
        <f t="shared" si="15"/>
        <v/>
      </c>
      <c r="L516" s="22"/>
      <c r="M516" s="23"/>
      <c r="N516" s="20"/>
      <c r="O516" s="16"/>
    </row>
    <row r="517" spans="1:15" s="6" customFormat="1" ht="14.1" customHeight="1">
      <c r="A517" s="132"/>
      <c r="B517" s="133"/>
      <c r="C517" s="43"/>
      <c r="D517" s="43"/>
      <c r="E517" s="43"/>
      <c r="F517" s="22"/>
      <c r="G517" s="43"/>
      <c r="H517" s="43"/>
      <c r="I517" s="23"/>
      <c r="J517" s="25" t="str">
        <f t="shared" si="14"/>
        <v/>
      </c>
      <c r="K517" s="25" t="str">
        <f t="shared" si="15"/>
        <v/>
      </c>
      <c r="L517" s="22"/>
      <c r="M517" s="23"/>
      <c r="N517" s="20"/>
      <c r="O517" s="16"/>
    </row>
    <row r="518" spans="1:15" s="6" customFormat="1" ht="14.1" customHeight="1">
      <c r="A518" s="132"/>
      <c r="B518" s="133"/>
      <c r="C518" s="43"/>
      <c r="D518" s="43"/>
      <c r="E518" s="43"/>
      <c r="F518" s="22"/>
      <c r="G518" s="43"/>
      <c r="H518" s="43"/>
      <c r="I518" s="23"/>
      <c r="J518" s="25" t="str">
        <f t="shared" si="14"/>
        <v/>
      </c>
      <c r="K518" s="25" t="str">
        <f t="shared" si="15"/>
        <v/>
      </c>
      <c r="L518" s="22"/>
      <c r="M518" s="23"/>
      <c r="N518" s="20"/>
      <c r="O518" s="16"/>
    </row>
    <row r="519" spans="1:15" s="6" customFormat="1" ht="14.1" customHeight="1">
      <c r="A519" s="132"/>
      <c r="B519" s="133"/>
      <c r="C519" s="43"/>
      <c r="D519" s="43"/>
      <c r="E519" s="43"/>
      <c r="F519" s="22"/>
      <c r="G519" s="43"/>
      <c r="H519" s="43"/>
      <c r="I519" s="23"/>
      <c r="J519" s="25" t="str">
        <f t="shared" si="14"/>
        <v/>
      </c>
      <c r="K519" s="25" t="str">
        <f t="shared" si="15"/>
        <v/>
      </c>
      <c r="L519" s="22"/>
      <c r="M519" s="23"/>
      <c r="N519" s="20"/>
      <c r="O519" s="16"/>
    </row>
    <row r="520" spans="1:15" s="6" customFormat="1" ht="14.1" customHeight="1">
      <c r="A520" s="132"/>
      <c r="B520" s="133"/>
      <c r="C520" s="43"/>
      <c r="D520" s="43"/>
      <c r="E520" s="43"/>
      <c r="F520" s="22"/>
      <c r="G520" s="43"/>
      <c r="H520" s="43"/>
      <c r="I520" s="23"/>
      <c r="J520" s="25" t="str">
        <f t="shared" si="14"/>
        <v/>
      </c>
      <c r="K520" s="25" t="str">
        <f t="shared" si="15"/>
        <v/>
      </c>
      <c r="L520" s="22"/>
      <c r="M520" s="23"/>
      <c r="N520" s="20"/>
      <c r="O520" s="16"/>
    </row>
    <row r="521" spans="1:15" s="6" customFormat="1" ht="14.1" customHeight="1">
      <c r="A521" s="132"/>
      <c r="B521" s="133"/>
      <c r="C521" s="43"/>
      <c r="D521" s="43"/>
      <c r="E521" s="43"/>
      <c r="F521" s="22"/>
      <c r="G521" s="43"/>
      <c r="H521" s="43"/>
      <c r="I521" s="23"/>
      <c r="J521" s="25" t="str">
        <f t="shared" si="14"/>
        <v/>
      </c>
      <c r="K521" s="25" t="str">
        <f t="shared" si="15"/>
        <v/>
      </c>
      <c r="L521" s="22"/>
      <c r="M521" s="23"/>
      <c r="N521" s="20"/>
      <c r="O521" s="16"/>
    </row>
    <row r="522" spans="1:15" s="6" customFormat="1" ht="14.1" customHeight="1">
      <c r="A522" s="132"/>
      <c r="B522" s="133"/>
      <c r="C522" s="43"/>
      <c r="D522" s="43"/>
      <c r="E522" s="43"/>
      <c r="F522" s="22"/>
      <c r="G522" s="43"/>
      <c r="H522" s="43"/>
      <c r="I522" s="23"/>
      <c r="J522" s="25" t="str">
        <f t="shared" si="14"/>
        <v/>
      </c>
      <c r="K522" s="25" t="str">
        <f t="shared" si="15"/>
        <v/>
      </c>
      <c r="L522" s="22"/>
      <c r="M522" s="23"/>
      <c r="N522" s="20"/>
      <c r="O522" s="16"/>
    </row>
    <row r="523" spans="1:15" s="6" customFormat="1" ht="14.1" customHeight="1">
      <c r="A523" s="132"/>
      <c r="B523" s="133"/>
      <c r="C523" s="43"/>
      <c r="D523" s="43"/>
      <c r="E523" s="43"/>
      <c r="F523" s="22"/>
      <c r="G523" s="43"/>
      <c r="H523" s="43"/>
      <c r="I523" s="23"/>
      <c r="J523" s="25" t="str">
        <f t="shared" si="14"/>
        <v/>
      </c>
      <c r="K523" s="25" t="str">
        <f t="shared" si="15"/>
        <v/>
      </c>
      <c r="L523" s="22"/>
      <c r="M523" s="23"/>
      <c r="N523" s="20"/>
      <c r="O523" s="16"/>
    </row>
    <row r="524" spans="1:15" s="6" customFormat="1" ht="14.1" customHeight="1">
      <c r="A524" s="132"/>
      <c r="B524" s="133"/>
      <c r="C524" s="43"/>
      <c r="D524" s="43"/>
      <c r="E524" s="43"/>
      <c r="F524" s="22"/>
      <c r="G524" s="43"/>
      <c r="H524" s="43"/>
      <c r="I524" s="23"/>
      <c r="J524" s="25" t="str">
        <f t="shared" si="14"/>
        <v/>
      </c>
      <c r="K524" s="25" t="str">
        <f t="shared" si="15"/>
        <v/>
      </c>
      <c r="L524" s="22"/>
      <c r="M524" s="23"/>
      <c r="N524" s="20"/>
      <c r="O524" s="16"/>
    </row>
    <row r="525" spans="1:15" s="6" customFormat="1" ht="14.1" customHeight="1">
      <c r="A525" s="132"/>
      <c r="B525" s="133"/>
      <c r="C525" s="43"/>
      <c r="D525" s="43"/>
      <c r="E525" s="43"/>
      <c r="F525" s="22"/>
      <c r="G525" s="43"/>
      <c r="H525" s="43"/>
      <c r="I525" s="23"/>
      <c r="J525" s="25" t="str">
        <f t="shared" ref="J525:J588" si="16">IF(D525&lt;&gt;"",D525,"")</f>
        <v/>
      </c>
      <c r="K525" s="25" t="str">
        <f t="shared" ref="K525:K588" si="17">IF(D525="Passed",E525,IF(D525="Warning",E525,""))</f>
        <v/>
      </c>
      <c r="L525" s="22"/>
      <c r="M525" s="23"/>
      <c r="N525" s="20"/>
      <c r="O525" s="16"/>
    </row>
    <row r="526" spans="1:15" s="6" customFormat="1" ht="14.1" customHeight="1">
      <c r="A526" s="132"/>
      <c r="B526" s="133"/>
      <c r="C526" s="43"/>
      <c r="D526" s="43"/>
      <c r="E526" s="43"/>
      <c r="F526" s="22"/>
      <c r="G526" s="43"/>
      <c r="H526" s="43"/>
      <c r="I526" s="23"/>
      <c r="J526" s="25" t="str">
        <f t="shared" si="16"/>
        <v/>
      </c>
      <c r="K526" s="25" t="str">
        <f t="shared" si="17"/>
        <v/>
      </c>
      <c r="L526" s="22"/>
      <c r="M526" s="23"/>
      <c r="N526" s="20"/>
      <c r="O526" s="16"/>
    </row>
    <row r="527" spans="1:15" s="6" customFormat="1" ht="14.1" customHeight="1">
      <c r="A527" s="132"/>
      <c r="B527" s="133"/>
      <c r="C527" s="43"/>
      <c r="D527" s="43"/>
      <c r="E527" s="43"/>
      <c r="F527" s="22"/>
      <c r="G527" s="43"/>
      <c r="H527" s="43"/>
      <c r="I527" s="23"/>
      <c r="J527" s="25" t="str">
        <f t="shared" si="16"/>
        <v/>
      </c>
      <c r="K527" s="25" t="str">
        <f t="shared" si="17"/>
        <v/>
      </c>
      <c r="L527" s="22"/>
      <c r="M527" s="23"/>
      <c r="N527" s="20"/>
      <c r="O527" s="16"/>
    </row>
    <row r="528" spans="1:15" s="6" customFormat="1" ht="14.1" customHeight="1">
      <c r="A528" s="132"/>
      <c r="B528" s="133"/>
      <c r="C528" s="43"/>
      <c r="D528" s="43"/>
      <c r="E528" s="43"/>
      <c r="F528" s="22"/>
      <c r="G528" s="43"/>
      <c r="H528" s="43"/>
      <c r="I528" s="23"/>
      <c r="J528" s="25" t="str">
        <f t="shared" si="16"/>
        <v/>
      </c>
      <c r="K528" s="25" t="str">
        <f t="shared" si="17"/>
        <v/>
      </c>
      <c r="L528" s="22"/>
      <c r="M528" s="23"/>
      <c r="N528" s="20"/>
      <c r="O528" s="16"/>
    </row>
    <row r="529" spans="1:15" s="6" customFormat="1" ht="14.1" customHeight="1">
      <c r="A529" s="132"/>
      <c r="B529" s="133"/>
      <c r="C529" s="43"/>
      <c r="D529" s="43"/>
      <c r="E529" s="43"/>
      <c r="F529" s="22"/>
      <c r="G529" s="43"/>
      <c r="H529" s="43"/>
      <c r="I529" s="23"/>
      <c r="J529" s="25" t="str">
        <f t="shared" si="16"/>
        <v/>
      </c>
      <c r="K529" s="25" t="str">
        <f t="shared" si="17"/>
        <v/>
      </c>
      <c r="L529" s="22"/>
      <c r="M529" s="23"/>
      <c r="N529" s="20"/>
      <c r="O529" s="16"/>
    </row>
    <row r="530" spans="1:15" s="6" customFormat="1" ht="14.1" customHeight="1">
      <c r="A530" s="132"/>
      <c r="B530" s="133"/>
      <c r="C530" s="43"/>
      <c r="D530" s="43"/>
      <c r="E530" s="43"/>
      <c r="F530" s="22"/>
      <c r="G530" s="43"/>
      <c r="H530" s="43"/>
      <c r="I530" s="23"/>
      <c r="J530" s="25" t="str">
        <f t="shared" si="16"/>
        <v/>
      </c>
      <c r="K530" s="25" t="str">
        <f t="shared" si="17"/>
        <v/>
      </c>
      <c r="L530" s="22"/>
      <c r="M530" s="23"/>
      <c r="N530" s="20"/>
      <c r="O530" s="16"/>
    </row>
    <row r="531" spans="1:15" s="6" customFormat="1" ht="14.1" customHeight="1">
      <c r="A531" s="132"/>
      <c r="B531" s="133"/>
      <c r="C531" s="43"/>
      <c r="D531" s="43"/>
      <c r="E531" s="43"/>
      <c r="F531" s="22"/>
      <c r="G531" s="43"/>
      <c r="H531" s="43"/>
      <c r="I531" s="23"/>
      <c r="J531" s="25" t="str">
        <f t="shared" si="16"/>
        <v/>
      </c>
      <c r="K531" s="25" t="str">
        <f t="shared" si="17"/>
        <v/>
      </c>
      <c r="L531" s="22"/>
      <c r="M531" s="23"/>
      <c r="N531" s="20"/>
      <c r="O531" s="16"/>
    </row>
    <row r="532" spans="1:15" s="6" customFormat="1" ht="14.1" customHeight="1">
      <c r="A532" s="132"/>
      <c r="B532" s="133"/>
      <c r="C532" s="43"/>
      <c r="D532" s="43"/>
      <c r="E532" s="43"/>
      <c r="F532" s="22"/>
      <c r="G532" s="43"/>
      <c r="H532" s="43"/>
      <c r="I532" s="23"/>
      <c r="J532" s="25" t="str">
        <f t="shared" si="16"/>
        <v/>
      </c>
      <c r="K532" s="25" t="str">
        <f t="shared" si="17"/>
        <v/>
      </c>
      <c r="L532" s="22"/>
      <c r="M532" s="23"/>
      <c r="N532" s="20"/>
      <c r="O532" s="16"/>
    </row>
    <row r="533" spans="1:15" s="6" customFormat="1" ht="14.1" customHeight="1">
      <c r="A533" s="132"/>
      <c r="B533" s="133"/>
      <c r="C533" s="43"/>
      <c r="D533" s="43"/>
      <c r="E533" s="43"/>
      <c r="F533" s="22"/>
      <c r="G533" s="43"/>
      <c r="H533" s="43"/>
      <c r="I533" s="23"/>
      <c r="J533" s="25" t="str">
        <f t="shared" si="16"/>
        <v/>
      </c>
      <c r="K533" s="25" t="str">
        <f t="shared" si="17"/>
        <v/>
      </c>
      <c r="L533" s="22"/>
      <c r="M533" s="23"/>
      <c r="N533" s="20"/>
      <c r="O533" s="16"/>
    </row>
    <row r="534" spans="1:15" s="6" customFormat="1" ht="14.1" customHeight="1">
      <c r="A534" s="132"/>
      <c r="B534" s="133"/>
      <c r="C534" s="43"/>
      <c r="D534" s="43"/>
      <c r="E534" s="43"/>
      <c r="F534" s="22"/>
      <c r="G534" s="43"/>
      <c r="H534" s="43"/>
      <c r="I534" s="23"/>
      <c r="J534" s="25" t="str">
        <f t="shared" si="16"/>
        <v/>
      </c>
      <c r="K534" s="25" t="str">
        <f t="shared" si="17"/>
        <v/>
      </c>
      <c r="L534" s="22"/>
      <c r="M534" s="23"/>
      <c r="N534" s="20"/>
      <c r="O534" s="16"/>
    </row>
    <row r="535" spans="1:15" s="6" customFormat="1" ht="14.1" customHeight="1">
      <c r="A535" s="132"/>
      <c r="B535" s="133"/>
      <c r="C535" s="43"/>
      <c r="D535" s="43"/>
      <c r="E535" s="43"/>
      <c r="F535" s="22"/>
      <c r="G535" s="43"/>
      <c r="H535" s="43"/>
      <c r="I535" s="23"/>
      <c r="J535" s="25" t="str">
        <f t="shared" si="16"/>
        <v/>
      </c>
      <c r="K535" s="25" t="str">
        <f t="shared" si="17"/>
        <v/>
      </c>
      <c r="L535" s="22"/>
      <c r="M535" s="23"/>
      <c r="N535" s="20"/>
      <c r="O535" s="16"/>
    </row>
    <row r="536" spans="1:15" s="6" customFormat="1" ht="14.1" customHeight="1">
      <c r="A536" s="132"/>
      <c r="B536" s="133"/>
      <c r="C536" s="43"/>
      <c r="D536" s="43"/>
      <c r="E536" s="43"/>
      <c r="F536" s="22"/>
      <c r="G536" s="43"/>
      <c r="H536" s="43"/>
      <c r="I536" s="23"/>
      <c r="J536" s="25" t="str">
        <f t="shared" si="16"/>
        <v/>
      </c>
      <c r="K536" s="25" t="str">
        <f t="shared" si="17"/>
        <v/>
      </c>
      <c r="L536" s="22"/>
      <c r="M536" s="23"/>
      <c r="N536" s="20"/>
      <c r="O536" s="16"/>
    </row>
    <row r="537" spans="1:15" s="6" customFormat="1" ht="14.1" customHeight="1">
      <c r="A537" s="132"/>
      <c r="B537" s="133"/>
      <c r="C537" s="43"/>
      <c r="D537" s="43"/>
      <c r="E537" s="43"/>
      <c r="F537" s="22"/>
      <c r="G537" s="43"/>
      <c r="H537" s="43"/>
      <c r="I537" s="23"/>
      <c r="J537" s="25" t="str">
        <f t="shared" si="16"/>
        <v/>
      </c>
      <c r="K537" s="25" t="str">
        <f t="shared" si="17"/>
        <v/>
      </c>
      <c r="L537" s="22"/>
      <c r="M537" s="23"/>
      <c r="N537" s="20"/>
      <c r="O537" s="16"/>
    </row>
    <row r="538" spans="1:15" s="6" customFormat="1" ht="14.1" customHeight="1">
      <c r="A538" s="132"/>
      <c r="B538" s="133"/>
      <c r="C538" s="43"/>
      <c r="D538" s="43"/>
      <c r="E538" s="43"/>
      <c r="F538" s="22"/>
      <c r="G538" s="43"/>
      <c r="H538" s="43"/>
      <c r="I538" s="23"/>
      <c r="J538" s="25" t="str">
        <f t="shared" si="16"/>
        <v/>
      </c>
      <c r="K538" s="25" t="str">
        <f t="shared" si="17"/>
        <v/>
      </c>
      <c r="L538" s="22"/>
      <c r="M538" s="23"/>
      <c r="N538" s="20"/>
      <c r="O538" s="16"/>
    </row>
    <row r="539" spans="1:15" s="6" customFormat="1" ht="14.1" customHeight="1">
      <c r="A539" s="132"/>
      <c r="B539" s="133"/>
      <c r="C539" s="43"/>
      <c r="D539" s="43"/>
      <c r="E539" s="43"/>
      <c r="F539" s="22"/>
      <c r="G539" s="43"/>
      <c r="H539" s="43"/>
      <c r="I539" s="23"/>
      <c r="J539" s="25" t="str">
        <f t="shared" si="16"/>
        <v/>
      </c>
      <c r="K539" s="25" t="str">
        <f t="shared" si="17"/>
        <v/>
      </c>
      <c r="L539" s="22"/>
      <c r="M539" s="23"/>
      <c r="N539" s="20"/>
      <c r="O539" s="16"/>
    </row>
    <row r="540" spans="1:15" s="6" customFormat="1" ht="14.1" customHeight="1">
      <c r="A540" s="132"/>
      <c r="B540" s="133"/>
      <c r="C540" s="43"/>
      <c r="D540" s="43"/>
      <c r="E540" s="43"/>
      <c r="F540" s="22"/>
      <c r="G540" s="43"/>
      <c r="H540" s="43"/>
      <c r="I540" s="23"/>
      <c r="J540" s="25" t="str">
        <f t="shared" si="16"/>
        <v/>
      </c>
      <c r="K540" s="25" t="str">
        <f t="shared" si="17"/>
        <v/>
      </c>
      <c r="L540" s="22"/>
      <c r="M540" s="23"/>
      <c r="N540" s="20"/>
      <c r="O540" s="16"/>
    </row>
    <row r="541" spans="1:15" s="6" customFormat="1" ht="14.1" customHeight="1">
      <c r="A541" s="132"/>
      <c r="B541" s="133"/>
      <c r="C541" s="43"/>
      <c r="D541" s="43"/>
      <c r="E541" s="43"/>
      <c r="F541" s="22"/>
      <c r="G541" s="43"/>
      <c r="H541" s="43"/>
      <c r="I541" s="23"/>
      <c r="J541" s="25" t="str">
        <f t="shared" si="16"/>
        <v/>
      </c>
      <c r="K541" s="25" t="str">
        <f t="shared" si="17"/>
        <v/>
      </c>
      <c r="L541" s="22"/>
      <c r="M541" s="23"/>
      <c r="N541" s="20"/>
      <c r="O541" s="16"/>
    </row>
    <row r="542" spans="1:15" s="6" customFormat="1" ht="14.1" customHeight="1">
      <c r="A542" s="132"/>
      <c r="B542" s="133"/>
      <c r="C542" s="43"/>
      <c r="D542" s="43"/>
      <c r="E542" s="43"/>
      <c r="F542" s="22"/>
      <c r="G542" s="43"/>
      <c r="H542" s="43"/>
      <c r="I542" s="23"/>
      <c r="J542" s="25" t="str">
        <f t="shared" si="16"/>
        <v/>
      </c>
      <c r="K542" s="25" t="str">
        <f t="shared" si="17"/>
        <v/>
      </c>
      <c r="L542" s="22"/>
      <c r="M542" s="23"/>
      <c r="N542" s="20"/>
      <c r="O542" s="16"/>
    </row>
    <row r="543" spans="1:15" s="6" customFormat="1" ht="14.1" customHeight="1">
      <c r="A543" s="132"/>
      <c r="B543" s="133"/>
      <c r="C543" s="43"/>
      <c r="D543" s="43"/>
      <c r="E543" s="43"/>
      <c r="F543" s="22"/>
      <c r="G543" s="43"/>
      <c r="H543" s="43"/>
      <c r="I543" s="23"/>
      <c r="J543" s="25" t="str">
        <f t="shared" si="16"/>
        <v/>
      </c>
      <c r="K543" s="25" t="str">
        <f t="shared" si="17"/>
        <v/>
      </c>
      <c r="L543" s="22"/>
      <c r="M543" s="23"/>
      <c r="N543" s="20"/>
      <c r="O543" s="16"/>
    </row>
    <row r="544" spans="1:15" s="6" customFormat="1" ht="14.1" customHeight="1">
      <c r="A544" s="132"/>
      <c r="B544" s="133"/>
      <c r="C544" s="43"/>
      <c r="D544" s="43"/>
      <c r="E544" s="43"/>
      <c r="F544" s="22"/>
      <c r="G544" s="43"/>
      <c r="H544" s="43"/>
      <c r="I544" s="23"/>
      <c r="J544" s="25" t="str">
        <f t="shared" si="16"/>
        <v/>
      </c>
      <c r="K544" s="25" t="str">
        <f t="shared" si="17"/>
        <v/>
      </c>
      <c r="L544" s="22"/>
      <c r="M544" s="23"/>
      <c r="N544" s="20"/>
      <c r="O544" s="16"/>
    </row>
    <row r="545" spans="1:15" s="6" customFormat="1" ht="14.1" customHeight="1">
      <c r="A545" s="132"/>
      <c r="B545" s="133"/>
      <c r="C545" s="43"/>
      <c r="D545" s="43"/>
      <c r="E545" s="43"/>
      <c r="F545" s="22"/>
      <c r="G545" s="43"/>
      <c r="H545" s="43"/>
      <c r="I545" s="23"/>
      <c r="J545" s="25" t="str">
        <f t="shared" si="16"/>
        <v/>
      </c>
      <c r="K545" s="25" t="str">
        <f t="shared" si="17"/>
        <v/>
      </c>
      <c r="L545" s="22"/>
      <c r="M545" s="23"/>
      <c r="N545" s="20"/>
      <c r="O545" s="16"/>
    </row>
    <row r="546" spans="1:15" s="6" customFormat="1" ht="14.1" customHeight="1">
      <c r="A546" s="132"/>
      <c r="B546" s="133"/>
      <c r="C546" s="43"/>
      <c r="D546" s="43"/>
      <c r="E546" s="43"/>
      <c r="F546" s="22"/>
      <c r="G546" s="43"/>
      <c r="H546" s="43"/>
      <c r="I546" s="23"/>
      <c r="J546" s="25" t="str">
        <f t="shared" si="16"/>
        <v/>
      </c>
      <c r="K546" s="25" t="str">
        <f t="shared" si="17"/>
        <v/>
      </c>
      <c r="L546" s="22"/>
      <c r="M546" s="23"/>
      <c r="N546" s="20"/>
      <c r="O546" s="16"/>
    </row>
    <row r="547" spans="1:15" s="6" customFormat="1" ht="14.1" customHeight="1">
      <c r="A547" s="132"/>
      <c r="B547" s="133"/>
      <c r="C547" s="43"/>
      <c r="D547" s="43"/>
      <c r="E547" s="43"/>
      <c r="F547" s="22"/>
      <c r="G547" s="43"/>
      <c r="H547" s="43"/>
      <c r="I547" s="23"/>
      <c r="J547" s="25" t="str">
        <f t="shared" si="16"/>
        <v/>
      </c>
      <c r="K547" s="25" t="str">
        <f t="shared" si="17"/>
        <v/>
      </c>
      <c r="L547" s="22"/>
      <c r="M547" s="23"/>
      <c r="N547" s="20"/>
      <c r="O547" s="16"/>
    </row>
    <row r="548" spans="1:15" s="6" customFormat="1" ht="14.1" customHeight="1">
      <c r="A548" s="132"/>
      <c r="B548" s="133"/>
      <c r="C548" s="43"/>
      <c r="D548" s="43"/>
      <c r="E548" s="43"/>
      <c r="F548" s="22"/>
      <c r="G548" s="43"/>
      <c r="H548" s="43"/>
      <c r="I548" s="23"/>
      <c r="J548" s="25" t="str">
        <f t="shared" si="16"/>
        <v/>
      </c>
      <c r="K548" s="25" t="str">
        <f t="shared" si="17"/>
        <v/>
      </c>
      <c r="L548" s="22"/>
      <c r="M548" s="23"/>
      <c r="N548" s="20"/>
      <c r="O548" s="16"/>
    </row>
    <row r="549" spans="1:15" s="6" customFormat="1" ht="14.1" customHeight="1">
      <c r="A549" s="132"/>
      <c r="B549" s="133"/>
      <c r="C549" s="43"/>
      <c r="D549" s="43"/>
      <c r="E549" s="43"/>
      <c r="F549" s="22"/>
      <c r="G549" s="43"/>
      <c r="H549" s="43"/>
      <c r="I549" s="23"/>
      <c r="J549" s="25" t="str">
        <f t="shared" si="16"/>
        <v/>
      </c>
      <c r="K549" s="25" t="str">
        <f t="shared" si="17"/>
        <v/>
      </c>
      <c r="L549" s="22"/>
      <c r="M549" s="23"/>
      <c r="N549" s="20"/>
      <c r="O549" s="16"/>
    </row>
    <row r="550" spans="1:15" s="6" customFormat="1" ht="14.1" customHeight="1">
      <c r="A550" s="132"/>
      <c r="B550" s="133"/>
      <c r="C550" s="43"/>
      <c r="D550" s="43"/>
      <c r="E550" s="43"/>
      <c r="F550" s="22"/>
      <c r="G550" s="43"/>
      <c r="H550" s="43"/>
      <c r="I550" s="23"/>
      <c r="J550" s="25" t="str">
        <f t="shared" si="16"/>
        <v/>
      </c>
      <c r="K550" s="25" t="str">
        <f t="shared" si="17"/>
        <v/>
      </c>
      <c r="L550" s="22"/>
      <c r="M550" s="23"/>
      <c r="N550" s="20"/>
      <c r="O550" s="16"/>
    </row>
    <row r="551" spans="1:15" s="6" customFormat="1" ht="14.1" customHeight="1">
      <c r="A551" s="132"/>
      <c r="B551" s="133"/>
      <c r="C551" s="43"/>
      <c r="D551" s="43"/>
      <c r="E551" s="43"/>
      <c r="F551" s="22"/>
      <c r="G551" s="43"/>
      <c r="H551" s="43"/>
      <c r="I551" s="23"/>
      <c r="J551" s="25" t="str">
        <f t="shared" si="16"/>
        <v/>
      </c>
      <c r="K551" s="25" t="str">
        <f t="shared" si="17"/>
        <v/>
      </c>
      <c r="L551" s="22"/>
      <c r="M551" s="23"/>
      <c r="N551" s="20"/>
      <c r="O551" s="16"/>
    </row>
    <row r="552" spans="1:15" s="6" customFormat="1" ht="14.1" customHeight="1">
      <c r="A552" s="132"/>
      <c r="B552" s="133"/>
      <c r="C552" s="43"/>
      <c r="D552" s="43"/>
      <c r="E552" s="43"/>
      <c r="F552" s="22"/>
      <c r="G552" s="43"/>
      <c r="H552" s="43"/>
      <c r="I552" s="23"/>
      <c r="J552" s="25" t="str">
        <f t="shared" si="16"/>
        <v/>
      </c>
      <c r="K552" s="25" t="str">
        <f t="shared" si="17"/>
        <v/>
      </c>
      <c r="L552" s="22"/>
      <c r="M552" s="23"/>
      <c r="N552" s="20"/>
      <c r="O552" s="16"/>
    </row>
    <row r="553" spans="1:15" s="6" customFormat="1" ht="14.1" customHeight="1">
      <c r="A553" s="132"/>
      <c r="B553" s="133"/>
      <c r="C553" s="43"/>
      <c r="D553" s="43"/>
      <c r="E553" s="43"/>
      <c r="F553" s="22"/>
      <c r="G553" s="43"/>
      <c r="H553" s="43"/>
      <c r="I553" s="23"/>
      <c r="J553" s="25" t="str">
        <f t="shared" si="16"/>
        <v/>
      </c>
      <c r="K553" s="25" t="str">
        <f t="shared" si="17"/>
        <v/>
      </c>
      <c r="L553" s="22"/>
      <c r="M553" s="23"/>
      <c r="N553" s="20"/>
      <c r="O553" s="16"/>
    </row>
    <row r="554" spans="1:15" s="6" customFormat="1" ht="14.1" customHeight="1">
      <c r="A554" s="132"/>
      <c r="B554" s="133"/>
      <c r="C554" s="43"/>
      <c r="D554" s="43"/>
      <c r="E554" s="43"/>
      <c r="F554" s="22"/>
      <c r="G554" s="43"/>
      <c r="H554" s="43"/>
      <c r="I554" s="23"/>
      <c r="J554" s="25" t="str">
        <f t="shared" si="16"/>
        <v/>
      </c>
      <c r="K554" s="25" t="str">
        <f t="shared" si="17"/>
        <v/>
      </c>
      <c r="L554" s="22"/>
      <c r="M554" s="23"/>
      <c r="N554" s="20"/>
      <c r="O554" s="16"/>
    </row>
    <row r="555" spans="1:15" s="6" customFormat="1" ht="14.1" customHeight="1">
      <c r="A555" s="132"/>
      <c r="B555" s="133"/>
      <c r="C555" s="43"/>
      <c r="D555" s="43"/>
      <c r="E555" s="43"/>
      <c r="F555" s="22"/>
      <c r="G555" s="43"/>
      <c r="H555" s="43"/>
      <c r="I555" s="23"/>
      <c r="J555" s="25" t="str">
        <f t="shared" si="16"/>
        <v/>
      </c>
      <c r="K555" s="25" t="str">
        <f t="shared" si="17"/>
        <v/>
      </c>
      <c r="L555" s="22"/>
      <c r="M555" s="23"/>
      <c r="N555" s="20"/>
      <c r="O555" s="16"/>
    </row>
    <row r="556" spans="1:15" s="6" customFormat="1" ht="14.1" customHeight="1">
      <c r="A556" s="132"/>
      <c r="B556" s="133"/>
      <c r="C556" s="43"/>
      <c r="D556" s="43"/>
      <c r="E556" s="43"/>
      <c r="F556" s="22"/>
      <c r="G556" s="43"/>
      <c r="H556" s="43"/>
      <c r="I556" s="23"/>
      <c r="J556" s="25" t="str">
        <f t="shared" si="16"/>
        <v/>
      </c>
      <c r="K556" s="25" t="str">
        <f t="shared" si="17"/>
        <v/>
      </c>
      <c r="L556" s="22"/>
      <c r="M556" s="23"/>
      <c r="N556" s="20"/>
      <c r="O556" s="16"/>
    </row>
    <row r="557" spans="1:15" s="6" customFormat="1" ht="14.1" customHeight="1">
      <c r="A557" s="132"/>
      <c r="B557" s="133"/>
      <c r="C557" s="43"/>
      <c r="D557" s="43"/>
      <c r="E557" s="43"/>
      <c r="F557" s="22"/>
      <c r="G557" s="43"/>
      <c r="H557" s="43"/>
      <c r="I557" s="23"/>
      <c r="J557" s="25" t="str">
        <f t="shared" si="16"/>
        <v/>
      </c>
      <c r="K557" s="25" t="str">
        <f t="shared" si="17"/>
        <v/>
      </c>
      <c r="L557" s="22"/>
      <c r="M557" s="23"/>
      <c r="N557" s="20"/>
      <c r="O557" s="16"/>
    </row>
    <row r="558" spans="1:15" s="6" customFormat="1" ht="14.1" customHeight="1">
      <c r="A558" s="132"/>
      <c r="B558" s="133"/>
      <c r="C558" s="43"/>
      <c r="D558" s="43"/>
      <c r="E558" s="43"/>
      <c r="F558" s="22"/>
      <c r="G558" s="43"/>
      <c r="H558" s="43"/>
      <c r="I558" s="23"/>
      <c r="J558" s="25" t="str">
        <f t="shared" si="16"/>
        <v/>
      </c>
      <c r="K558" s="25" t="str">
        <f t="shared" si="17"/>
        <v/>
      </c>
      <c r="L558" s="22"/>
      <c r="M558" s="23"/>
      <c r="N558" s="20"/>
      <c r="O558" s="16"/>
    </row>
    <row r="559" spans="1:15" s="6" customFormat="1" ht="14.1" customHeight="1">
      <c r="A559" s="132"/>
      <c r="B559" s="133"/>
      <c r="C559" s="43"/>
      <c r="D559" s="43"/>
      <c r="E559" s="43"/>
      <c r="F559" s="22"/>
      <c r="G559" s="43"/>
      <c r="H559" s="43"/>
      <c r="I559" s="23"/>
      <c r="J559" s="25" t="str">
        <f t="shared" si="16"/>
        <v/>
      </c>
      <c r="K559" s="25" t="str">
        <f t="shared" si="17"/>
        <v/>
      </c>
      <c r="L559" s="22"/>
      <c r="M559" s="23"/>
      <c r="N559" s="20"/>
      <c r="O559" s="16"/>
    </row>
    <row r="560" spans="1:15" s="6" customFormat="1" ht="14.1" customHeight="1">
      <c r="A560" s="132"/>
      <c r="B560" s="133"/>
      <c r="C560" s="43"/>
      <c r="D560" s="43"/>
      <c r="E560" s="43"/>
      <c r="F560" s="22"/>
      <c r="G560" s="43"/>
      <c r="H560" s="43"/>
      <c r="I560" s="23"/>
      <c r="J560" s="25" t="str">
        <f t="shared" si="16"/>
        <v/>
      </c>
      <c r="K560" s="25" t="str">
        <f t="shared" si="17"/>
        <v/>
      </c>
      <c r="L560" s="22"/>
      <c r="M560" s="23"/>
      <c r="N560" s="20"/>
      <c r="O560" s="16"/>
    </row>
    <row r="561" spans="1:15" s="6" customFormat="1" ht="14.1" customHeight="1">
      <c r="A561" s="132"/>
      <c r="B561" s="133"/>
      <c r="C561" s="43"/>
      <c r="D561" s="43"/>
      <c r="E561" s="43"/>
      <c r="F561" s="22"/>
      <c r="G561" s="43"/>
      <c r="H561" s="43"/>
      <c r="I561" s="23"/>
      <c r="J561" s="25" t="str">
        <f t="shared" si="16"/>
        <v/>
      </c>
      <c r="K561" s="25" t="str">
        <f t="shared" si="17"/>
        <v/>
      </c>
      <c r="L561" s="22"/>
      <c r="M561" s="23"/>
      <c r="N561" s="20"/>
      <c r="O561" s="16"/>
    </row>
    <row r="562" spans="1:15" s="6" customFormat="1" ht="14.1" customHeight="1">
      <c r="A562" s="132"/>
      <c r="B562" s="133"/>
      <c r="C562" s="43"/>
      <c r="D562" s="43"/>
      <c r="E562" s="43"/>
      <c r="F562" s="22"/>
      <c r="G562" s="43"/>
      <c r="H562" s="43"/>
      <c r="I562" s="23"/>
      <c r="J562" s="25" t="str">
        <f t="shared" si="16"/>
        <v/>
      </c>
      <c r="K562" s="25" t="str">
        <f t="shared" si="17"/>
        <v/>
      </c>
      <c r="L562" s="22"/>
      <c r="M562" s="23"/>
      <c r="N562" s="20"/>
      <c r="O562" s="16"/>
    </row>
    <row r="563" spans="1:15" s="6" customFormat="1" ht="14.1" customHeight="1">
      <c r="A563" s="132"/>
      <c r="B563" s="133"/>
      <c r="C563" s="43"/>
      <c r="D563" s="43"/>
      <c r="E563" s="43"/>
      <c r="F563" s="22"/>
      <c r="G563" s="43"/>
      <c r="H563" s="43"/>
      <c r="I563" s="23"/>
      <c r="J563" s="25" t="str">
        <f t="shared" si="16"/>
        <v/>
      </c>
      <c r="K563" s="25" t="str">
        <f t="shared" si="17"/>
        <v/>
      </c>
      <c r="L563" s="22"/>
      <c r="M563" s="23"/>
      <c r="N563" s="20"/>
      <c r="O563" s="16"/>
    </row>
    <row r="564" spans="1:15" s="6" customFormat="1" ht="14.1" customHeight="1">
      <c r="A564" s="132"/>
      <c r="B564" s="133"/>
      <c r="C564" s="43"/>
      <c r="D564" s="43"/>
      <c r="E564" s="43"/>
      <c r="F564" s="22"/>
      <c r="G564" s="43"/>
      <c r="H564" s="43"/>
      <c r="I564" s="23"/>
      <c r="J564" s="25" t="str">
        <f t="shared" si="16"/>
        <v/>
      </c>
      <c r="K564" s="25" t="str">
        <f t="shared" si="17"/>
        <v/>
      </c>
      <c r="L564" s="22"/>
      <c r="M564" s="23"/>
      <c r="N564" s="20"/>
      <c r="O564" s="16"/>
    </row>
    <row r="565" spans="1:15" s="6" customFormat="1" ht="14.1" customHeight="1">
      <c r="A565" s="132"/>
      <c r="B565" s="133"/>
      <c r="C565" s="43"/>
      <c r="D565" s="43"/>
      <c r="E565" s="43"/>
      <c r="F565" s="22"/>
      <c r="G565" s="43"/>
      <c r="H565" s="43"/>
      <c r="I565" s="23"/>
      <c r="J565" s="25" t="str">
        <f t="shared" si="16"/>
        <v/>
      </c>
      <c r="K565" s="25" t="str">
        <f t="shared" si="17"/>
        <v/>
      </c>
      <c r="L565" s="22"/>
      <c r="M565" s="23"/>
      <c r="N565" s="20"/>
      <c r="O565" s="16"/>
    </row>
    <row r="566" spans="1:15" s="6" customFormat="1" ht="14.1" customHeight="1">
      <c r="A566" s="132"/>
      <c r="B566" s="133"/>
      <c r="C566" s="43"/>
      <c r="D566" s="43"/>
      <c r="E566" s="43"/>
      <c r="F566" s="22"/>
      <c r="G566" s="43"/>
      <c r="H566" s="43"/>
      <c r="I566" s="23"/>
      <c r="J566" s="25" t="str">
        <f t="shared" si="16"/>
        <v/>
      </c>
      <c r="K566" s="25" t="str">
        <f t="shared" si="17"/>
        <v/>
      </c>
      <c r="L566" s="22"/>
      <c r="M566" s="23"/>
      <c r="N566" s="20"/>
      <c r="O566" s="16"/>
    </row>
    <row r="567" spans="1:15" s="6" customFormat="1" ht="14.1" customHeight="1">
      <c r="A567" s="132"/>
      <c r="B567" s="133"/>
      <c r="C567" s="43"/>
      <c r="D567" s="43"/>
      <c r="E567" s="43"/>
      <c r="F567" s="22"/>
      <c r="G567" s="43"/>
      <c r="H567" s="43"/>
      <c r="I567" s="23"/>
      <c r="J567" s="25" t="str">
        <f t="shared" si="16"/>
        <v/>
      </c>
      <c r="K567" s="25" t="str">
        <f t="shared" si="17"/>
        <v/>
      </c>
      <c r="L567" s="22"/>
      <c r="M567" s="23"/>
      <c r="N567" s="20"/>
      <c r="O567" s="16"/>
    </row>
    <row r="568" spans="1:15" s="6" customFormat="1" ht="14.1" customHeight="1">
      <c r="A568" s="132"/>
      <c r="B568" s="133"/>
      <c r="C568" s="43"/>
      <c r="D568" s="43"/>
      <c r="E568" s="43"/>
      <c r="F568" s="22"/>
      <c r="G568" s="43"/>
      <c r="H568" s="43"/>
      <c r="I568" s="23"/>
      <c r="J568" s="25" t="str">
        <f t="shared" si="16"/>
        <v/>
      </c>
      <c r="K568" s="25" t="str">
        <f t="shared" si="17"/>
        <v/>
      </c>
      <c r="L568" s="22"/>
      <c r="M568" s="23"/>
      <c r="N568" s="20"/>
      <c r="O568" s="16"/>
    </row>
    <row r="569" spans="1:15" s="6" customFormat="1" ht="14.1" customHeight="1">
      <c r="A569" s="132"/>
      <c r="B569" s="133"/>
      <c r="C569" s="43"/>
      <c r="D569" s="43"/>
      <c r="E569" s="43"/>
      <c r="F569" s="22"/>
      <c r="G569" s="43"/>
      <c r="H569" s="43"/>
      <c r="I569" s="23"/>
      <c r="J569" s="25" t="str">
        <f t="shared" si="16"/>
        <v/>
      </c>
      <c r="K569" s="25" t="str">
        <f t="shared" si="17"/>
        <v/>
      </c>
      <c r="L569" s="22"/>
      <c r="M569" s="23"/>
      <c r="N569" s="20"/>
      <c r="O569" s="16"/>
    </row>
    <row r="570" spans="1:15" s="6" customFormat="1" ht="14.1" customHeight="1">
      <c r="A570" s="132"/>
      <c r="B570" s="133"/>
      <c r="C570" s="43"/>
      <c r="D570" s="43"/>
      <c r="E570" s="43"/>
      <c r="F570" s="22"/>
      <c r="G570" s="43"/>
      <c r="H570" s="43"/>
      <c r="I570" s="23"/>
      <c r="J570" s="25" t="str">
        <f t="shared" si="16"/>
        <v/>
      </c>
      <c r="K570" s="25" t="str">
        <f t="shared" si="17"/>
        <v/>
      </c>
      <c r="L570" s="22"/>
      <c r="M570" s="23"/>
      <c r="N570" s="20"/>
      <c r="O570" s="16"/>
    </row>
    <row r="571" spans="1:15" s="6" customFormat="1" ht="14.1" customHeight="1">
      <c r="A571" s="132"/>
      <c r="B571" s="133"/>
      <c r="C571" s="43"/>
      <c r="D571" s="43"/>
      <c r="E571" s="43"/>
      <c r="F571" s="22"/>
      <c r="G571" s="43"/>
      <c r="H571" s="43"/>
      <c r="I571" s="23"/>
      <c r="J571" s="25" t="str">
        <f t="shared" si="16"/>
        <v/>
      </c>
      <c r="K571" s="25" t="str">
        <f t="shared" si="17"/>
        <v/>
      </c>
      <c r="L571" s="22"/>
      <c r="M571" s="23"/>
      <c r="N571" s="20"/>
      <c r="O571" s="16"/>
    </row>
    <row r="572" spans="1:15" s="6" customFormat="1" ht="14.1" customHeight="1">
      <c r="A572" s="132"/>
      <c r="B572" s="133"/>
      <c r="C572" s="43"/>
      <c r="D572" s="43"/>
      <c r="E572" s="43"/>
      <c r="F572" s="22"/>
      <c r="G572" s="43"/>
      <c r="H572" s="43"/>
      <c r="I572" s="23"/>
      <c r="J572" s="25" t="str">
        <f t="shared" si="16"/>
        <v/>
      </c>
      <c r="K572" s="25" t="str">
        <f t="shared" si="17"/>
        <v/>
      </c>
      <c r="L572" s="22"/>
      <c r="M572" s="23"/>
      <c r="N572" s="20"/>
      <c r="O572" s="16"/>
    </row>
    <row r="573" spans="1:15" s="6" customFormat="1" ht="14.1" customHeight="1">
      <c r="A573" s="132"/>
      <c r="B573" s="133"/>
      <c r="C573" s="43"/>
      <c r="D573" s="43"/>
      <c r="E573" s="43"/>
      <c r="F573" s="22"/>
      <c r="G573" s="43"/>
      <c r="H573" s="43"/>
      <c r="I573" s="23"/>
      <c r="J573" s="25" t="str">
        <f t="shared" si="16"/>
        <v/>
      </c>
      <c r="K573" s="25" t="str">
        <f t="shared" si="17"/>
        <v/>
      </c>
      <c r="L573" s="22"/>
      <c r="M573" s="23"/>
      <c r="N573" s="20"/>
      <c r="O573" s="16"/>
    </row>
    <row r="574" spans="1:15" s="6" customFormat="1" ht="14.1" customHeight="1">
      <c r="A574" s="132"/>
      <c r="B574" s="133"/>
      <c r="C574" s="43"/>
      <c r="D574" s="43"/>
      <c r="E574" s="43"/>
      <c r="F574" s="22"/>
      <c r="G574" s="43"/>
      <c r="H574" s="43"/>
      <c r="I574" s="23"/>
      <c r="J574" s="25" t="str">
        <f t="shared" si="16"/>
        <v/>
      </c>
      <c r="K574" s="25" t="str">
        <f t="shared" si="17"/>
        <v/>
      </c>
      <c r="L574" s="22"/>
      <c r="M574" s="23"/>
      <c r="N574" s="20"/>
      <c r="O574" s="16"/>
    </row>
    <row r="575" spans="1:15" s="6" customFormat="1" ht="14.1" customHeight="1">
      <c r="A575" s="132"/>
      <c r="B575" s="133"/>
      <c r="C575" s="43"/>
      <c r="D575" s="43"/>
      <c r="E575" s="43"/>
      <c r="F575" s="22"/>
      <c r="G575" s="43"/>
      <c r="H575" s="43"/>
      <c r="I575" s="23"/>
      <c r="J575" s="25" t="str">
        <f t="shared" si="16"/>
        <v/>
      </c>
      <c r="K575" s="25" t="str">
        <f t="shared" si="17"/>
        <v/>
      </c>
      <c r="L575" s="22"/>
      <c r="M575" s="23"/>
      <c r="N575" s="20"/>
      <c r="O575" s="16"/>
    </row>
    <row r="576" spans="1:15" s="6" customFormat="1" ht="14.1" customHeight="1">
      <c r="A576" s="132"/>
      <c r="B576" s="133"/>
      <c r="C576" s="43"/>
      <c r="D576" s="43"/>
      <c r="E576" s="43"/>
      <c r="F576" s="22"/>
      <c r="G576" s="43"/>
      <c r="H576" s="43"/>
      <c r="I576" s="23"/>
      <c r="J576" s="25" t="str">
        <f t="shared" si="16"/>
        <v/>
      </c>
      <c r="K576" s="25" t="str">
        <f t="shared" si="17"/>
        <v/>
      </c>
      <c r="L576" s="22"/>
      <c r="M576" s="23"/>
      <c r="N576" s="20"/>
      <c r="O576" s="16"/>
    </row>
    <row r="577" spans="1:15" s="6" customFormat="1" ht="14.1" customHeight="1">
      <c r="A577" s="132"/>
      <c r="B577" s="133"/>
      <c r="C577" s="43"/>
      <c r="D577" s="43"/>
      <c r="E577" s="43"/>
      <c r="F577" s="22"/>
      <c r="G577" s="43"/>
      <c r="H577" s="43"/>
      <c r="I577" s="23"/>
      <c r="J577" s="25" t="str">
        <f t="shared" si="16"/>
        <v/>
      </c>
      <c r="K577" s="25" t="str">
        <f t="shared" si="17"/>
        <v/>
      </c>
      <c r="L577" s="22"/>
      <c r="M577" s="23"/>
      <c r="N577" s="20"/>
      <c r="O577" s="16"/>
    </row>
    <row r="578" spans="1:15" s="6" customFormat="1" ht="14.1" customHeight="1">
      <c r="A578" s="132"/>
      <c r="B578" s="133"/>
      <c r="C578" s="43"/>
      <c r="D578" s="43"/>
      <c r="E578" s="43"/>
      <c r="F578" s="22"/>
      <c r="G578" s="43"/>
      <c r="H578" s="43"/>
      <c r="I578" s="23"/>
      <c r="J578" s="25" t="str">
        <f t="shared" si="16"/>
        <v/>
      </c>
      <c r="K578" s="25" t="str">
        <f t="shared" si="17"/>
        <v/>
      </c>
      <c r="L578" s="22"/>
      <c r="M578" s="23"/>
      <c r="N578" s="20"/>
      <c r="O578" s="16"/>
    </row>
    <row r="579" spans="1:15" s="6" customFormat="1" ht="14.1" customHeight="1">
      <c r="A579" s="132"/>
      <c r="B579" s="133"/>
      <c r="C579" s="43"/>
      <c r="D579" s="43"/>
      <c r="E579" s="43"/>
      <c r="F579" s="22"/>
      <c r="G579" s="43"/>
      <c r="H579" s="43"/>
      <c r="I579" s="23"/>
      <c r="J579" s="25" t="str">
        <f t="shared" si="16"/>
        <v/>
      </c>
      <c r="K579" s="25" t="str">
        <f t="shared" si="17"/>
        <v/>
      </c>
      <c r="L579" s="22"/>
      <c r="M579" s="23"/>
      <c r="N579" s="20"/>
      <c r="O579" s="16"/>
    </row>
    <row r="580" spans="1:15" s="6" customFormat="1" ht="14.1" customHeight="1">
      <c r="A580" s="132"/>
      <c r="B580" s="133"/>
      <c r="C580" s="43"/>
      <c r="D580" s="43"/>
      <c r="E580" s="43"/>
      <c r="F580" s="22"/>
      <c r="G580" s="43"/>
      <c r="H580" s="43"/>
      <c r="I580" s="23"/>
      <c r="J580" s="25" t="str">
        <f t="shared" si="16"/>
        <v/>
      </c>
      <c r="K580" s="25" t="str">
        <f t="shared" si="17"/>
        <v/>
      </c>
      <c r="L580" s="22"/>
      <c r="M580" s="23"/>
      <c r="N580" s="20"/>
      <c r="O580" s="16"/>
    </row>
    <row r="581" spans="1:15" s="6" customFormat="1" ht="14.1" customHeight="1">
      <c r="A581" s="132"/>
      <c r="B581" s="133"/>
      <c r="C581" s="43"/>
      <c r="D581" s="43"/>
      <c r="E581" s="43"/>
      <c r="F581" s="22"/>
      <c r="G581" s="43"/>
      <c r="H581" s="43"/>
      <c r="I581" s="23"/>
      <c r="J581" s="25" t="str">
        <f t="shared" si="16"/>
        <v/>
      </c>
      <c r="K581" s="25" t="str">
        <f t="shared" si="17"/>
        <v/>
      </c>
      <c r="L581" s="22"/>
      <c r="M581" s="23"/>
      <c r="N581" s="20"/>
      <c r="O581" s="16"/>
    </row>
    <row r="582" spans="1:15" s="6" customFormat="1" ht="14.1" customHeight="1">
      <c r="A582" s="132"/>
      <c r="B582" s="133"/>
      <c r="C582" s="43"/>
      <c r="D582" s="43"/>
      <c r="E582" s="43"/>
      <c r="F582" s="22"/>
      <c r="G582" s="43"/>
      <c r="H582" s="43"/>
      <c r="I582" s="23"/>
      <c r="J582" s="25" t="str">
        <f t="shared" si="16"/>
        <v/>
      </c>
      <c r="K582" s="25" t="str">
        <f t="shared" si="17"/>
        <v/>
      </c>
      <c r="L582" s="22"/>
      <c r="M582" s="23"/>
      <c r="N582" s="20"/>
      <c r="O582" s="16"/>
    </row>
    <row r="583" spans="1:15" s="6" customFormat="1" ht="14.1" customHeight="1">
      <c r="A583" s="132"/>
      <c r="B583" s="133"/>
      <c r="C583" s="43"/>
      <c r="D583" s="43"/>
      <c r="E583" s="43"/>
      <c r="F583" s="22"/>
      <c r="G583" s="43"/>
      <c r="H583" s="43"/>
      <c r="I583" s="23"/>
      <c r="J583" s="25" t="str">
        <f t="shared" si="16"/>
        <v/>
      </c>
      <c r="K583" s="25" t="str">
        <f t="shared" si="17"/>
        <v/>
      </c>
      <c r="L583" s="22"/>
      <c r="M583" s="23"/>
      <c r="N583" s="20"/>
      <c r="O583" s="16"/>
    </row>
    <row r="584" spans="1:15" s="6" customFormat="1" ht="14.1" customHeight="1">
      <c r="A584" s="132"/>
      <c r="B584" s="133"/>
      <c r="C584" s="43"/>
      <c r="D584" s="43"/>
      <c r="E584" s="43"/>
      <c r="F584" s="22"/>
      <c r="G584" s="43"/>
      <c r="H584" s="43"/>
      <c r="I584" s="23"/>
      <c r="J584" s="25" t="str">
        <f t="shared" si="16"/>
        <v/>
      </c>
      <c r="K584" s="25" t="str">
        <f t="shared" si="17"/>
        <v/>
      </c>
      <c r="L584" s="22"/>
      <c r="M584" s="23"/>
      <c r="N584" s="20"/>
      <c r="O584" s="16"/>
    </row>
    <row r="585" spans="1:15" s="6" customFormat="1" ht="14.1" customHeight="1">
      <c r="A585" s="132"/>
      <c r="B585" s="133"/>
      <c r="C585" s="43"/>
      <c r="D585" s="43"/>
      <c r="E585" s="43"/>
      <c r="F585" s="22"/>
      <c r="G585" s="43"/>
      <c r="H585" s="43"/>
      <c r="I585" s="23"/>
      <c r="J585" s="25" t="str">
        <f t="shared" si="16"/>
        <v/>
      </c>
      <c r="K585" s="25" t="str">
        <f t="shared" si="17"/>
        <v/>
      </c>
      <c r="L585" s="22"/>
      <c r="M585" s="23"/>
      <c r="N585" s="20"/>
      <c r="O585" s="16"/>
    </row>
    <row r="586" spans="1:15" s="6" customFormat="1" ht="14.1" customHeight="1">
      <c r="A586" s="132"/>
      <c r="B586" s="133"/>
      <c r="C586" s="43"/>
      <c r="D586" s="43"/>
      <c r="E586" s="43"/>
      <c r="F586" s="22"/>
      <c r="G586" s="43"/>
      <c r="H586" s="43"/>
      <c r="I586" s="23"/>
      <c r="J586" s="25" t="str">
        <f t="shared" si="16"/>
        <v/>
      </c>
      <c r="K586" s="25" t="str">
        <f t="shared" si="17"/>
        <v/>
      </c>
      <c r="L586" s="22"/>
      <c r="M586" s="23"/>
      <c r="N586" s="20"/>
      <c r="O586" s="16"/>
    </row>
    <row r="587" spans="1:15" s="6" customFormat="1" ht="14.1" customHeight="1">
      <c r="A587" s="132"/>
      <c r="B587" s="133"/>
      <c r="C587" s="43"/>
      <c r="D587" s="43"/>
      <c r="E587" s="43"/>
      <c r="F587" s="22"/>
      <c r="G587" s="43"/>
      <c r="H587" s="43"/>
      <c r="I587" s="23"/>
      <c r="J587" s="25" t="str">
        <f t="shared" si="16"/>
        <v/>
      </c>
      <c r="K587" s="25" t="str">
        <f t="shared" si="17"/>
        <v/>
      </c>
      <c r="L587" s="22"/>
      <c r="M587" s="23"/>
      <c r="N587" s="20"/>
      <c r="O587" s="16"/>
    </row>
    <row r="588" spans="1:15" s="6" customFormat="1" ht="14.1" customHeight="1">
      <c r="A588" s="132"/>
      <c r="B588" s="133"/>
      <c r="C588" s="43"/>
      <c r="D588" s="43"/>
      <c r="E588" s="43"/>
      <c r="F588" s="22"/>
      <c r="G588" s="43"/>
      <c r="H588" s="43"/>
      <c r="I588" s="23"/>
      <c r="J588" s="25" t="str">
        <f t="shared" si="16"/>
        <v/>
      </c>
      <c r="K588" s="25" t="str">
        <f t="shared" si="17"/>
        <v/>
      </c>
      <c r="L588" s="22"/>
      <c r="M588" s="23"/>
      <c r="N588" s="20"/>
      <c r="O588" s="16"/>
    </row>
    <row r="589" spans="1:15" s="6" customFormat="1" ht="14.1" customHeight="1">
      <c r="A589" s="132"/>
      <c r="B589" s="133"/>
      <c r="C589" s="43"/>
      <c r="D589" s="43"/>
      <c r="E589" s="43"/>
      <c r="F589" s="22"/>
      <c r="G589" s="43"/>
      <c r="H589" s="43"/>
      <c r="I589" s="23"/>
      <c r="J589" s="25" t="str">
        <f t="shared" ref="J589:J652" si="18">IF(D589&lt;&gt;"",D589,"")</f>
        <v/>
      </c>
      <c r="K589" s="25" t="str">
        <f t="shared" ref="K589:K652" si="19">IF(D589="Passed",E589,IF(D589="Warning",E589,""))</f>
        <v/>
      </c>
      <c r="L589" s="22"/>
      <c r="M589" s="23"/>
      <c r="N589" s="20"/>
      <c r="O589" s="16"/>
    </row>
    <row r="590" spans="1:15" s="6" customFormat="1" ht="14.1" customHeight="1">
      <c r="A590" s="132"/>
      <c r="B590" s="133"/>
      <c r="C590" s="43"/>
      <c r="D590" s="43"/>
      <c r="E590" s="43"/>
      <c r="F590" s="22"/>
      <c r="G590" s="43"/>
      <c r="H590" s="43"/>
      <c r="I590" s="23"/>
      <c r="J590" s="25" t="str">
        <f t="shared" si="18"/>
        <v/>
      </c>
      <c r="K590" s="25" t="str">
        <f t="shared" si="19"/>
        <v/>
      </c>
      <c r="L590" s="22"/>
      <c r="M590" s="23"/>
      <c r="N590" s="20"/>
      <c r="O590" s="16"/>
    </row>
    <row r="591" spans="1:15" s="6" customFormat="1" ht="14.1" customHeight="1">
      <c r="A591" s="132"/>
      <c r="B591" s="133"/>
      <c r="C591" s="43"/>
      <c r="D591" s="43"/>
      <c r="E591" s="43"/>
      <c r="F591" s="22"/>
      <c r="G591" s="43"/>
      <c r="H591" s="43"/>
      <c r="I591" s="23"/>
      <c r="J591" s="25" t="str">
        <f t="shared" si="18"/>
        <v/>
      </c>
      <c r="K591" s="25" t="str">
        <f t="shared" si="19"/>
        <v/>
      </c>
      <c r="L591" s="22"/>
      <c r="M591" s="23"/>
      <c r="N591" s="20"/>
      <c r="O591" s="16"/>
    </row>
    <row r="592" spans="1:15" s="6" customFormat="1" ht="14.1" customHeight="1">
      <c r="A592" s="132"/>
      <c r="B592" s="133"/>
      <c r="C592" s="43"/>
      <c r="D592" s="43"/>
      <c r="E592" s="43"/>
      <c r="F592" s="22"/>
      <c r="G592" s="43"/>
      <c r="H592" s="43"/>
      <c r="I592" s="23"/>
      <c r="J592" s="25" t="str">
        <f t="shared" si="18"/>
        <v/>
      </c>
      <c r="K592" s="25" t="str">
        <f t="shared" si="19"/>
        <v/>
      </c>
      <c r="L592" s="22"/>
      <c r="M592" s="23"/>
      <c r="N592" s="20"/>
      <c r="O592" s="16"/>
    </row>
    <row r="593" spans="1:15" s="6" customFormat="1" ht="14.1" customHeight="1">
      <c r="A593" s="132"/>
      <c r="B593" s="133"/>
      <c r="C593" s="43"/>
      <c r="D593" s="43"/>
      <c r="E593" s="43"/>
      <c r="F593" s="22"/>
      <c r="G593" s="43"/>
      <c r="H593" s="43"/>
      <c r="I593" s="23"/>
      <c r="J593" s="25" t="str">
        <f t="shared" si="18"/>
        <v/>
      </c>
      <c r="K593" s="25" t="str">
        <f t="shared" si="19"/>
        <v/>
      </c>
      <c r="L593" s="22"/>
      <c r="M593" s="23"/>
      <c r="N593" s="20"/>
      <c r="O593" s="16"/>
    </row>
    <row r="594" spans="1:15" s="6" customFormat="1" ht="14.1" customHeight="1">
      <c r="A594" s="132"/>
      <c r="B594" s="133"/>
      <c r="C594" s="43"/>
      <c r="D594" s="43"/>
      <c r="E594" s="43"/>
      <c r="F594" s="22"/>
      <c r="G594" s="43"/>
      <c r="H594" s="43"/>
      <c r="I594" s="23"/>
      <c r="J594" s="25" t="str">
        <f t="shared" si="18"/>
        <v/>
      </c>
      <c r="K594" s="25" t="str">
        <f t="shared" si="19"/>
        <v/>
      </c>
      <c r="L594" s="22"/>
      <c r="M594" s="23"/>
      <c r="N594" s="20"/>
      <c r="O594" s="16"/>
    </row>
    <row r="595" spans="1:15" s="6" customFormat="1" ht="14.1" customHeight="1">
      <c r="A595" s="132"/>
      <c r="B595" s="133"/>
      <c r="C595" s="43"/>
      <c r="D595" s="43"/>
      <c r="E595" s="43"/>
      <c r="F595" s="22"/>
      <c r="G595" s="43"/>
      <c r="H595" s="43"/>
      <c r="I595" s="23"/>
      <c r="J595" s="25" t="str">
        <f t="shared" si="18"/>
        <v/>
      </c>
      <c r="K595" s="25" t="str">
        <f t="shared" si="19"/>
        <v/>
      </c>
      <c r="L595" s="22"/>
      <c r="M595" s="23"/>
      <c r="N595" s="20"/>
      <c r="O595" s="16"/>
    </row>
    <row r="596" spans="1:15" s="6" customFormat="1" ht="14.1" customHeight="1">
      <c r="A596" s="132"/>
      <c r="B596" s="133"/>
      <c r="C596" s="43"/>
      <c r="D596" s="43"/>
      <c r="E596" s="43"/>
      <c r="F596" s="22"/>
      <c r="G596" s="43"/>
      <c r="H596" s="43"/>
      <c r="I596" s="23"/>
      <c r="J596" s="25" t="str">
        <f t="shared" si="18"/>
        <v/>
      </c>
      <c r="K596" s="25" t="str">
        <f t="shared" si="19"/>
        <v/>
      </c>
      <c r="L596" s="22"/>
      <c r="M596" s="23"/>
      <c r="N596" s="20"/>
      <c r="O596" s="16"/>
    </row>
    <row r="597" spans="1:15" s="6" customFormat="1" ht="14.1" customHeight="1">
      <c r="A597" s="132"/>
      <c r="B597" s="133"/>
      <c r="C597" s="43"/>
      <c r="D597" s="43"/>
      <c r="E597" s="43"/>
      <c r="F597" s="22"/>
      <c r="G597" s="43"/>
      <c r="H597" s="43"/>
      <c r="I597" s="23"/>
      <c r="J597" s="25" t="str">
        <f t="shared" si="18"/>
        <v/>
      </c>
      <c r="K597" s="25" t="str">
        <f t="shared" si="19"/>
        <v/>
      </c>
      <c r="L597" s="22"/>
      <c r="M597" s="23"/>
      <c r="N597" s="20"/>
      <c r="O597" s="16"/>
    </row>
    <row r="598" spans="1:15" s="6" customFormat="1" ht="14.1" customHeight="1">
      <c r="A598" s="132"/>
      <c r="B598" s="133"/>
      <c r="C598" s="43"/>
      <c r="D598" s="43"/>
      <c r="E598" s="43"/>
      <c r="F598" s="22"/>
      <c r="G598" s="43"/>
      <c r="H598" s="43"/>
      <c r="I598" s="23"/>
      <c r="J598" s="25" t="str">
        <f t="shared" si="18"/>
        <v/>
      </c>
      <c r="K598" s="25" t="str">
        <f t="shared" si="19"/>
        <v/>
      </c>
      <c r="L598" s="22"/>
      <c r="M598" s="23"/>
      <c r="N598" s="20"/>
      <c r="O598" s="16"/>
    </row>
    <row r="599" spans="1:15" s="6" customFormat="1" ht="14.1" customHeight="1">
      <c r="A599" s="132"/>
      <c r="B599" s="133"/>
      <c r="C599" s="43"/>
      <c r="D599" s="43"/>
      <c r="E599" s="43"/>
      <c r="F599" s="22"/>
      <c r="G599" s="43"/>
      <c r="H599" s="43"/>
      <c r="I599" s="23"/>
      <c r="J599" s="25" t="str">
        <f t="shared" si="18"/>
        <v/>
      </c>
      <c r="K599" s="25" t="str">
        <f t="shared" si="19"/>
        <v/>
      </c>
      <c r="L599" s="22"/>
      <c r="M599" s="23"/>
      <c r="N599" s="20"/>
      <c r="O599" s="16"/>
    </row>
    <row r="600" spans="1:15" s="6" customFormat="1" ht="14.1" customHeight="1">
      <c r="A600" s="132"/>
      <c r="B600" s="133"/>
      <c r="C600" s="43"/>
      <c r="D600" s="43"/>
      <c r="E600" s="43"/>
      <c r="F600" s="22"/>
      <c r="G600" s="43"/>
      <c r="H600" s="43"/>
      <c r="I600" s="23"/>
      <c r="J600" s="25" t="str">
        <f t="shared" si="18"/>
        <v/>
      </c>
      <c r="K600" s="25" t="str">
        <f t="shared" si="19"/>
        <v/>
      </c>
      <c r="L600" s="22"/>
      <c r="M600" s="23"/>
      <c r="N600" s="20"/>
      <c r="O600" s="16"/>
    </row>
    <row r="601" spans="1:15" s="6" customFormat="1" ht="14.1" customHeight="1">
      <c r="A601" s="132"/>
      <c r="B601" s="133"/>
      <c r="C601" s="43"/>
      <c r="D601" s="43"/>
      <c r="E601" s="43"/>
      <c r="F601" s="22"/>
      <c r="G601" s="43"/>
      <c r="H601" s="43"/>
      <c r="I601" s="23"/>
      <c r="J601" s="25" t="str">
        <f t="shared" si="18"/>
        <v/>
      </c>
      <c r="K601" s="25" t="str">
        <f t="shared" si="19"/>
        <v/>
      </c>
      <c r="L601" s="22"/>
      <c r="M601" s="23"/>
      <c r="N601" s="20"/>
      <c r="O601" s="16"/>
    </row>
    <row r="602" spans="1:15" s="6" customFormat="1" ht="14.1" customHeight="1">
      <c r="A602" s="132"/>
      <c r="B602" s="133"/>
      <c r="C602" s="43"/>
      <c r="D602" s="43"/>
      <c r="E602" s="43"/>
      <c r="F602" s="22"/>
      <c r="G602" s="43"/>
      <c r="H602" s="43"/>
      <c r="I602" s="23"/>
      <c r="J602" s="25" t="str">
        <f t="shared" si="18"/>
        <v/>
      </c>
      <c r="K602" s="25" t="str">
        <f t="shared" si="19"/>
        <v/>
      </c>
      <c r="L602" s="22"/>
      <c r="M602" s="23"/>
      <c r="N602" s="20"/>
      <c r="O602" s="16"/>
    </row>
    <row r="603" spans="1:15" s="6" customFormat="1" ht="14.1" customHeight="1">
      <c r="A603" s="132"/>
      <c r="B603" s="133"/>
      <c r="C603" s="43"/>
      <c r="D603" s="43"/>
      <c r="E603" s="43"/>
      <c r="F603" s="22"/>
      <c r="G603" s="43"/>
      <c r="H603" s="43"/>
      <c r="I603" s="23"/>
      <c r="J603" s="25" t="str">
        <f t="shared" si="18"/>
        <v/>
      </c>
      <c r="K603" s="25" t="str">
        <f t="shared" si="19"/>
        <v/>
      </c>
      <c r="L603" s="22"/>
      <c r="M603" s="23"/>
      <c r="N603" s="20"/>
      <c r="O603" s="16"/>
    </row>
    <row r="604" spans="1:15" s="6" customFormat="1" ht="14.1" customHeight="1">
      <c r="A604" s="132"/>
      <c r="B604" s="133"/>
      <c r="C604" s="43"/>
      <c r="D604" s="43"/>
      <c r="E604" s="43"/>
      <c r="F604" s="22"/>
      <c r="G604" s="43"/>
      <c r="H604" s="43"/>
      <c r="I604" s="23"/>
      <c r="J604" s="25" t="str">
        <f t="shared" si="18"/>
        <v/>
      </c>
      <c r="K604" s="25" t="str">
        <f t="shared" si="19"/>
        <v/>
      </c>
      <c r="L604" s="22"/>
      <c r="M604" s="23"/>
      <c r="N604" s="20"/>
      <c r="O604" s="16"/>
    </row>
    <row r="605" spans="1:15" s="6" customFormat="1" ht="14.1" customHeight="1">
      <c r="A605" s="132"/>
      <c r="B605" s="133"/>
      <c r="C605" s="43"/>
      <c r="D605" s="43"/>
      <c r="E605" s="43"/>
      <c r="F605" s="22"/>
      <c r="G605" s="43"/>
      <c r="H605" s="43"/>
      <c r="I605" s="23"/>
      <c r="J605" s="25" t="str">
        <f t="shared" si="18"/>
        <v/>
      </c>
      <c r="K605" s="25" t="str">
        <f t="shared" si="19"/>
        <v/>
      </c>
      <c r="L605" s="22"/>
      <c r="M605" s="23"/>
      <c r="N605" s="20"/>
      <c r="O605" s="16"/>
    </row>
    <row r="606" spans="1:15" s="6" customFormat="1" ht="14.1" customHeight="1">
      <c r="A606" s="132"/>
      <c r="B606" s="133"/>
      <c r="C606" s="43"/>
      <c r="D606" s="43"/>
      <c r="E606" s="43"/>
      <c r="F606" s="22"/>
      <c r="G606" s="43"/>
      <c r="H606" s="43"/>
      <c r="I606" s="23"/>
      <c r="J606" s="25" t="str">
        <f t="shared" si="18"/>
        <v/>
      </c>
      <c r="K606" s="25" t="str">
        <f t="shared" si="19"/>
        <v/>
      </c>
      <c r="L606" s="22"/>
      <c r="M606" s="23"/>
      <c r="N606" s="20"/>
      <c r="O606" s="16"/>
    </row>
    <row r="607" spans="1:15" s="6" customFormat="1" ht="14.1" customHeight="1">
      <c r="A607" s="132"/>
      <c r="B607" s="133"/>
      <c r="C607" s="43"/>
      <c r="D607" s="43"/>
      <c r="E607" s="43"/>
      <c r="F607" s="22"/>
      <c r="G607" s="43"/>
      <c r="H607" s="43"/>
      <c r="I607" s="23"/>
      <c r="J607" s="25" t="str">
        <f t="shared" si="18"/>
        <v/>
      </c>
      <c r="K607" s="25" t="str">
        <f t="shared" si="19"/>
        <v/>
      </c>
      <c r="L607" s="22"/>
      <c r="M607" s="23"/>
      <c r="N607" s="20"/>
      <c r="O607" s="16"/>
    </row>
    <row r="608" spans="1:15" s="6" customFormat="1" ht="14.1" customHeight="1">
      <c r="A608" s="132"/>
      <c r="B608" s="133"/>
      <c r="C608" s="43"/>
      <c r="D608" s="43"/>
      <c r="E608" s="43"/>
      <c r="F608" s="22"/>
      <c r="G608" s="43"/>
      <c r="H608" s="43"/>
      <c r="I608" s="23"/>
      <c r="J608" s="25" t="str">
        <f t="shared" si="18"/>
        <v/>
      </c>
      <c r="K608" s="25" t="str">
        <f t="shared" si="19"/>
        <v/>
      </c>
      <c r="L608" s="22"/>
      <c r="M608" s="23"/>
      <c r="N608" s="20"/>
      <c r="O608" s="16"/>
    </row>
    <row r="609" spans="1:15" s="6" customFormat="1" ht="14.1" customHeight="1">
      <c r="A609" s="132"/>
      <c r="B609" s="133"/>
      <c r="C609" s="43"/>
      <c r="D609" s="43"/>
      <c r="E609" s="43"/>
      <c r="F609" s="22"/>
      <c r="G609" s="43"/>
      <c r="H609" s="43"/>
      <c r="I609" s="23"/>
      <c r="J609" s="25" t="str">
        <f t="shared" si="18"/>
        <v/>
      </c>
      <c r="K609" s="25" t="str">
        <f t="shared" si="19"/>
        <v/>
      </c>
      <c r="L609" s="22"/>
      <c r="M609" s="23"/>
      <c r="N609" s="20"/>
      <c r="O609" s="16"/>
    </row>
    <row r="610" spans="1:15" s="6" customFormat="1" ht="14.1" customHeight="1">
      <c r="A610" s="132"/>
      <c r="B610" s="133"/>
      <c r="C610" s="43"/>
      <c r="D610" s="43"/>
      <c r="E610" s="43"/>
      <c r="F610" s="22"/>
      <c r="G610" s="43"/>
      <c r="H610" s="43"/>
      <c r="I610" s="23"/>
      <c r="J610" s="25" t="str">
        <f t="shared" si="18"/>
        <v/>
      </c>
      <c r="K610" s="25" t="str">
        <f t="shared" si="19"/>
        <v/>
      </c>
      <c r="L610" s="22"/>
      <c r="M610" s="23"/>
      <c r="N610" s="20"/>
      <c r="O610" s="16"/>
    </row>
    <row r="611" spans="1:15" s="6" customFormat="1" ht="14.1" customHeight="1">
      <c r="A611" s="132"/>
      <c r="B611" s="133"/>
      <c r="C611" s="43"/>
      <c r="D611" s="43"/>
      <c r="E611" s="43"/>
      <c r="F611" s="22"/>
      <c r="G611" s="43"/>
      <c r="H611" s="43"/>
      <c r="I611" s="23"/>
      <c r="J611" s="25" t="str">
        <f t="shared" si="18"/>
        <v/>
      </c>
      <c r="K611" s="25" t="str">
        <f t="shared" si="19"/>
        <v/>
      </c>
      <c r="L611" s="22"/>
      <c r="M611" s="23"/>
      <c r="N611" s="20"/>
      <c r="O611" s="16"/>
    </row>
    <row r="612" spans="1:15" s="6" customFormat="1" ht="14.1" customHeight="1">
      <c r="A612" s="132"/>
      <c r="B612" s="133"/>
      <c r="C612" s="43"/>
      <c r="D612" s="43"/>
      <c r="E612" s="43"/>
      <c r="F612" s="22"/>
      <c r="G612" s="43"/>
      <c r="H612" s="43"/>
      <c r="I612" s="23"/>
      <c r="J612" s="25" t="str">
        <f t="shared" si="18"/>
        <v/>
      </c>
      <c r="K612" s="25" t="str">
        <f t="shared" si="19"/>
        <v/>
      </c>
      <c r="L612" s="22"/>
      <c r="M612" s="23"/>
      <c r="N612" s="20"/>
      <c r="O612" s="16"/>
    </row>
    <row r="613" spans="1:15" s="6" customFormat="1" ht="14.1" customHeight="1">
      <c r="A613" s="132"/>
      <c r="B613" s="133"/>
      <c r="C613" s="43"/>
      <c r="D613" s="43"/>
      <c r="E613" s="43"/>
      <c r="F613" s="22"/>
      <c r="G613" s="43"/>
      <c r="H613" s="43"/>
      <c r="I613" s="23"/>
      <c r="J613" s="25" t="str">
        <f t="shared" si="18"/>
        <v/>
      </c>
      <c r="K613" s="25" t="str">
        <f t="shared" si="19"/>
        <v/>
      </c>
      <c r="L613" s="22"/>
      <c r="M613" s="23"/>
      <c r="N613" s="20"/>
      <c r="O613" s="16"/>
    </row>
    <row r="614" spans="1:15" s="6" customFormat="1" ht="14.1" customHeight="1">
      <c r="A614" s="132"/>
      <c r="B614" s="133"/>
      <c r="C614" s="43"/>
      <c r="D614" s="43"/>
      <c r="E614" s="43"/>
      <c r="F614" s="22"/>
      <c r="G614" s="43"/>
      <c r="H614" s="43"/>
      <c r="I614" s="23"/>
      <c r="J614" s="25" t="str">
        <f t="shared" si="18"/>
        <v/>
      </c>
      <c r="K614" s="25" t="str">
        <f t="shared" si="19"/>
        <v/>
      </c>
      <c r="L614" s="22"/>
      <c r="M614" s="23"/>
      <c r="N614" s="20"/>
      <c r="O614" s="16"/>
    </row>
    <row r="615" spans="1:15" s="6" customFormat="1" ht="14.1" customHeight="1">
      <c r="A615" s="132"/>
      <c r="B615" s="133"/>
      <c r="C615" s="43"/>
      <c r="D615" s="43"/>
      <c r="E615" s="43"/>
      <c r="F615" s="22"/>
      <c r="G615" s="43"/>
      <c r="H615" s="43"/>
      <c r="I615" s="23"/>
      <c r="J615" s="25" t="str">
        <f t="shared" si="18"/>
        <v/>
      </c>
      <c r="K615" s="25" t="str">
        <f t="shared" si="19"/>
        <v/>
      </c>
      <c r="L615" s="22"/>
      <c r="M615" s="23"/>
      <c r="N615" s="20"/>
      <c r="O615" s="16"/>
    </row>
    <row r="616" spans="1:15" s="6" customFormat="1" ht="14.1" customHeight="1">
      <c r="A616" s="132"/>
      <c r="B616" s="133"/>
      <c r="C616" s="43"/>
      <c r="D616" s="43"/>
      <c r="E616" s="43"/>
      <c r="F616" s="22"/>
      <c r="G616" s="43"/>
      <c r="H616" s="43"/>
      <c r="I616" s="23"/>
      <c r="J616" s="25" t="str">
        <f t="shared" si="18"/>
        <v/>
      </c>
      <c r="K616" s="25" t="str">
        <f t="shared" si="19"/>
        <v/>
      </c>
      <c r="L616" s="22"/>
      <c r="M616" s="23"/>
      <c r="N616" s="20"/>
      <c r="O616" s="16"/>
    </row>
    <row r="617" spans="1:15" s="6" customFormat="1" ht="14.1" customHeight="1">
      <c r="A617" s="132"/>
      <c r="B617" s="133"/>
      <c r="C617" s="43"/>
      <c r="D617" s="43"/>
      <c r="E617" s="43"/>
      <c r="F617" s="22"/>
      <c r="G617" s="43"/>
      <c r="H617" s="43"/>
      <c r="I617" s="23"/>
      <c r="J617" s="25" t="str">
        <f t="shared" si="18"/>
        <v/>
      </c>
      <c r="K617" s="25" t="str">
        <f t="shared" si="19"/>
        <v/>
      </c>
      <c r="L617" s="22"/>
      <c r="M617" s="23"/>
      <c r="N617" s="20"/>
      <c r="O617" s="16"/>
    </row>
    <row r="618" spans="1:15" s="6" customFormat="1" ht="14.1" customHeight="1">
      <c r="A618" s="132"/>
      <c r="B618" s="133"/>
      <c r="C618" s="43"/>
      <c r="D618" s="43"/>
      <c r="E618" s="43"/>
      <c r="F618" s="22"/>
      <c r="G618" s="43"/>
      <c r="H618" s="43"/>
      <c r="I618" s="23"/>
      <c r="J618" s="25" t="str">
        <f t="shared" si="18"/>
        <v/>
      </c>
      <c r="K618" s="25" t="str">
        <f t="shared" si="19"/>
        <v/>
      </c>
      <c r="L618" s="22"/>
      <c r="M618" s="23"/>
      <c r="N618" s="20"/>
      <c r="O618" s="16"/>
    </row>
    <row r="619" spans="1:15" s="6" customFormat="1" ht="14.1" customHeight="1">
      <c r="A619" s="132"/>
      <c r="B619" s="133"/>
      <c r="C619" s="43"/>
      <c r="D619" s="43"/>
      <c r="E619" s="43"/>
      <c r="F619" s="22"/>
      <c r="G619" s="43"/>
      <c r="H619" s="43"/>
      <c r="I619" s="23"/>
      <c r="J619" s="25" t="str">
        <f t="shared" si="18"/>
        <v/>
      </c>
      <c r="K619" s="25" t="str">
        <f t="shared" si="19"/>
        <v/>
      </c>
      <c r="L619" s="22"/>
      <c r="M619" s="23"/>
      <c r="N619" s="20"/>
      <c r="O619" s="16"/>
    </row>
    <row r="620" spans="1:15" s="6" customFormat="1" ht="14.1" customHeight="1">
      <c r="A620" s="132"/>
      <c r="B620" s="133"/>
      <c r="C620" s="43"/>
      <c r="D620" s="43"/>
      <c r="E620" s="43"/>
      <c r="F620" s="22"/>
      <c r="G620" s="43"/>
      <c r="H620" s="43"/>
      <c r="I620" s="23"/>
      <c r="J620" s="25" t="str">
        <f t="shared" si="18"/>
        <v/>
      </c>
      <c r="K620" s="25" t="str">
        <f t="shared" si="19"/>
        <v/>
      </c>
      <c r="L620" s="22"/>
      <c r="M620" s="23"/>
      <c r="N620" s="20"/>
      <c r="O620" s="16"/>
    </row>
    <row r="621" spans="1:15" s="6" customFormat="1" ht="14.1" customHeight="1">
      <c r="A621" s="132"/>
      <c r="B621" s="133"/>
      <c r="C621" s="43"/>
      <c r="D621" s="43"/>
      <c r="E621" s="43"/>
      <c r="F621" s="22"/>
      <c r="G621" s="43"/>
      <c r="H621" s="43"/>
      <c r="I621" s="23"/>
      <c r="J621" s="25" t="str">
        <f t="shared" si="18"/>
        <v/>
      </c>
      <c r="K621" s="25" t="str">
        <f t="shared" si="19"/>
        <v/>
      </c>
      <c r="L621" s="22"/>
      <c r="M621" s="23"/>
      <c r="N621" s="20"/>
      <c r="O621" s="16"/>
    </row>
    <row r="622" spans="1:15" s="6" customFormat="1" ht="14.1" customHeight="1">
      <c r="A622" s="132"/>
      <c r="B622" s="133"/>
      <c r="C622" s="43"/>
      <c r="D622" s="43"/>
      <c r="E622" s="43"/>
      <c r="F622" s="22"/>
      <c r="G622" s="43"/>
      <c r="H622" s="43"/>
      <c r="I622" s="23"/>
      <c r="J622" s="25" t="str">
        <f t="shared" si="18"/>
        <v/>
      </c>
      <c r="K622" s="25" t="str">
        <f t="shared" si="19"/>
        <v/>
      </c>
      <c r="L622" s="22"/>
      <c r="M622" s="23"/>
      <c r="N622" s="20"/>
      <c r="O622" s="16"/>
    </row>
    <row r="623" spans="1:15" s="6" customFormat="1" ht="14.1" customHeight="1">
      <c r="A623" s="132"/>
      <c r="B623" s="133"/>
      <c r="C623" s="43"/>
      <c r="D623" s="43"/>
      <c r="E623" s="43"/>
      <c r="F623" s="22"/>
      <c r="G623" s="43"/>
      <c r="H623" s="43"/>
      <c r="I623" s="23"/>
      <c r="J623" s="25" t="str">
        <f t="shared" si="18"/>
        <v/>
      </c>
      <c r="K623" s="25" t="str">
        <f t="shared" si="19"/>
        <v/>
      </c>
      <c r="L623" s="22"/>
      <c r="M623" s="23"/>
      <c r="N623" s="20"/>
      <c r="O623" s="16"/>
    </row>
    <row r="624" spans="1:15" s="6" customFormat="1" ht="14.1" customHeight="1">
      <c r="A624" s="132"/>
      <c r="B624" s="133"/>
      <c r="C624" s="43"/>
      <c r="D624" s="43"/>
      <c r="E624" s="43"/>
      <c r="F624" s="22"/>
      <c r="G624" s="43"/>
      <c r="H624" s="43"/>
      <c r="I624" s="23"/>
      <c r="J624" s="25" t="str">
        <f t="shared" si="18"/>
        <v/>
      </c>
      <c r="K624" s="25" t="str">
        <f t="shared" si="19"/>
        <v/>
      </c>
      <c r="L624" s="22"/>
      <c r="M624" s="23"/>
      <c r="N624" s="20"/>
      <c r="O624" s="16"/>
    </row>
    <row r="625" spans="1:15" s="6" customFormat="1" ht="14.1" customHeight="1">
      <c r="A625" s="132"/>
      <c r="B625" s="133"/>
      <c r="C625" s="43"/>
      <c r="D625" s="43"/>
      <c r="E625" s="43"/>
      <c r="F625" s="22"/>
      <c r="G625" s="43"/>
      <c r="H625" s="43"/>
      <c r="I625" s="23"/>
      <c r="J625" s="25" t="str">
        <f t="shared" si="18"/>
        <v/>
      </c>
      <c r="K625" s="25" t="str">
        <f t="shared" si="19"/>
        <v/>
      </c>
      <c r="L625" s="22"/>
      <c r="M625" s="23"/>
      <c r="N625" s="20"/>
      <c r="O625" s="16"/>
    </row>
    <row r="626" spans="1:15" s="6" customFormat="1" ht="14.1" customHeight="1">
      <c r="A626" s="132"/>
      <c r="B626" s="133"/>
      <c r="C626" s="43"/>
      <c r="D626" s="43"/>
      <c r="E626" s="43"/>
      <c r="F626" s="22"/>
      <c r="G626" s="43"/>
      <c r="H626" s="43"/>
      <c r="I626" s="23"/>
      <c r="J626" s="25" t="str">
        <f t="shared" si="18"/>
        <v/>
      </c>
      <c r="K626" s="25" t="str">
        <f t="shared" si="19"/>
        <v/>
      </c>
      <c r="L626" s="22"/>
      <c r="M626" s="23"/>
      <c r="N626" s="20"/>
      <c r="O626" s="16"/>
    </row>
    <row r="627" spans="1:15" s="6" customFormat="1" ht="14.1" customHeight="1">
      <c r="A627" s="132"/>
      <c r="B627" s="133"/>
      <c r="C627" s="43"/>
      <c r="D627" s="43"/>
      <c r="E627" s="43"/>
      <c r="F627" s="22"/>
      <c r="G627" s="43"/>
      <c r="H627" s="43"/>
      <c r="I627" s="23"/>
      <c r="J627" s="25" t="str">
        <f t="shared" si="18"/>
        <v/>
      </c>
      <c r="K627" s="25" t="str">
        <f t="shared" si="19"/>
        <v/>
      </c>
      <c r="L627" s="22"/>
      <c r="M627" s="23"/>
      <c r="N627" s="20"/>
      <c r="O627" s="16"/>
    </row>
    <row r="628" spans="1:15" s="6" customFormat="1" ht="14.1" customHeight="1">
      <c r="A628" s="132"/>
      <c r="B628" s="133"/>
      <c r="C628" s="43"/>
      <c r="D628" s="43"/>
      <c r="E628" s="43"/>
      <c r="F628" s="22"/>
      <c r="G628" s="43"/>
      <c r="H628" s="43"/>
      <c r="I628" s="23"/>
      <c r="J628" s="25" t="str">
        <f t="shared" si="18"/>
        <v/>
      </c>
      <c r="K628" s="25" t="str">
        <f t="shared" si="19"/>
        <v/>
      </c>
      <c r="L628" s="22"/>
      <c r="M628" s="23"/>
      <c r="N628" s="20"/>
      <c r="O628" s="16"/>
    </row>
    <row r="629" spans="1:15" s="6" customFormat="1" ht="14.1" customHeight="1">
      <c r="A629" s="132"/>
      <c r="B629" s="133"/>
      <c r="C629" s="43"/>
      <c r="D629" s="43"/>
      <c r="E629" s="43"/>
      <c r="F629" s="22"/>
      <c r="G629" s="43"/>
      <c r="H629" s="43"/>
      <c r="I629" s="23"/>
      <c r="J629" s="25" t="str">
        <f t="shared" si="18"/>
        <v/>
      </c>
      <c r="K629" s="25" t="str">
        <f t="shared" si="19"/>
        <v/>
      </c>
      <c r="L629" s="22"/>
      <c r="M629" s="23"/>
      <c r="N629" s="20"/>
      <c r="O629" s="16"/>
    </row>
    <row r="630" spans="1:15" s="6" customFormat="1" ht="14.1" customHeight="1">
      <c r="A630" s="132"/>
      <c r="B630" s="133"/>
      <c r="C630" s="43"/>
      <c r="D630" s="43"/>
      <c r="E630" s="43"/>
      <c r="F630" s="22"/>
      <c r="G630" s="43"/>
      <c r="H630" s="43"/>
      <c r="I630" s="23"/>
      <c r="J630" s="25" t="str">
        <f t="shared" si="18"/>
        <v/>
      </c>
      <c r="K630" s="25" t="str">
        <f t="shared" si="19"/>
        <v/>
      </c>
      <c r="L630" s="22"/>
      <c r="M630" s="23"/>
      <c r="N630" s="20"/>
      <c r="O630" s="16"/>
    </row>
    <row r="631" spans="1:15" s="6" customFormat="1" ht="14.1" customHeight="1">
      <c r="A631" s="132"/>
      <c r="B631" s="133"/>
      <c r="C631" s="43"/>
      <c r="D631" s="43"/>
      <c r="E631" s="43"/>
      <c r="F631" s="22"/>
      <c r="G631" s="43"/>
      <c r="H631" s="43"/>
      <c r="I631" s="23"/>
      <c r="J631" s="25" t="str">
        <f t="shared" si="18"/>
        <v/>
      </c>
      <c r="K631" s="25" t="str">
        <f t="shared" si="19"/>
        <v/>
      </c>
      <c r="L631" s="22"/>
      <c r="M631" s="23"/>
      <c r="N631" s="20"/>
      <c r="O631" s="16"/>
    </row>
    <row r="632" spans="1:15" s="6" customFormat="1" ht="14.1" customHeight="1">
      <c r="A632" s="132"/>
      <c r="B632" s="133"/>
      <c r="C632" s="43"/>
      <c r="D632" s="43"/>
      <c r="E632" s="43"/>
      <c r="F632" s="22"/>
      <c r="G632" s="43"/>
      <c r="H632" s="43"/>
      <c r="I632" s="23"/>
      <c r="J632" s="25" t="str">
        <f t="shared" si="18"/>
        <v/>
      </c>
      <c r="K632" s="25" t="str">
        <f t="shared" si="19"/>
        <v/>
      </c>
      <c r="L632" s="22"/>
      <c r="M632" s="23"/>
      <c r="N632" s="20"/>
      <c r="O632" s="16"/>
    </row>
    <row r="633" spans="1:15" s="6" customFormat="1" ht="14.1" customHeight="1">
      <c r="A633" s="132"/>
      <c r="B633" s="133"/>
      <c r="C633" s="43"/>
      <c r="D633" s="43"/>
      <c r="E633" s="43"/>
      <c r="F633" s="22"/>
      <c r="G633" s="43"/>
      <c r="H633" s="43"/>
      <c r="I633" s="23"/>
      <c r="J633" s="25" t="str">
        <f t="shared" si="18"/>
        <v/>
      </c>
      <c r="K633" s="25" t="str">
        <f t="shared" si="19"/>
        <v/>
      </c>
      <c r="L633" s="22"/>
      <c r="M633" s="23"/>
      <c r="N633" s="20"/>
      <c r="O633" s="16"/>
    </row>
    <row r="634" spans="1:15" s="6" customFormat="1" ht="14.1" customHeight="1">
      <c r="A634" s="132"/>
      <c r="B634" s="133"/>
      <c r="C634" s="43"/>
      <c r="D634" s="43"/>
      <c r="E634" s="43"/>
      <c r="F634" s="22"/>
      <c r="G634" s="43"/>
      <c r="H634" s="43"/>
      <c r="I634" s="23"/>
      <c r="J634" s="25" t="str">
        <f t="shared" si="18"/>
        <v/>
      </c>
      <c r="K634" s="25" t="str">
        <f t="shared" si="19"/>
        <v/>
      </c>
      <c r="L634" s="22"/>
      <c r="M634" s="23"/>
      <c r="N634" s="20"/>
      <c r="O634" s="16"/>
    </row>
    <row r="635" spans="1:15" s="6" customFormat="1" ht="14.1" customHeight="1">
      <c r="A635" s="132"/>
      <c r="B635" s="133"/>
      <c r="C635" s="43"/>
      <c r="D635" s="43"/>
      <c r="E635" s="43"/>
      <c r="F635" s="22"/>
      <c r="G635" s="43"/>
      <c r="H635" s="43"/>
      <c r="I635" s="23"/>
      <c r="J635" s="25" t="str">
        <f t="shared" si="18"/>
        <v/>
      </c>
      <c r="K635" s="25" t="str">
        <f t="shared" si="19"/>
        <v/>
      </c>
      <c r="L635" s="22"/>
      <c r="M635" s="23"/>
      <c r="N635" s="20"/>
      <c r="O635" s="16"/>
    </row>
    <row r="636" spans="1:15" s="6" customFormat="1" ht="14.1" customHeight="1">
      <c r="A636" s="132"/>
      <c r="B636" s="133"/>
      <c r="C636" s="43"/>
      <c r="D636" s="43"/>
      <c r="E636" s="43"/>
      <c r="F636" s="22"/>
      <c r="G636" s="43"/>
      <c r="H636" s="43"/>
      <c r="I636" s="23"/>
      <c r="J636" s="25" t="str">
        <f t="shared" si="18"/>
        <v/>
      </c>
      <c r="K636" s="25" t="str">
        <f t="shared" si="19"/>
        <v/>
      </c>
      <c r="L636" s="22"/>
      <c r="M636" s="23"/>
      <c r="N636" s="20"/>
      <c r="O636" s="16"/>
    </row>
    <row r="637" spans="1:15" s="6" customFormat="1" ht="14.1" customHeight="1">
      <c r="A637" s="132"/>
      <c r="B637" s="133"/>
      <c r="C637" s="43"/>
      <c r="D637" s="43"/>
      <c r="E637" s="43"/>
      <c r="F637" s="22"/>
      <c r="G637" s="43"/>
      <c r="H637" s="43"/>
      <c r="I637" s="23"/>
      <c r="J637" s="25" t="str">
        <f t="shared" si="18"/>
        <v/>
      </c>
      <c r="K637" s="25" t="str">
        <f t="shared" si="19"/>
        <v/>
      </c>
      <c r="L637" s="22"/>
      <c r="M637" s="23"/>
      <c r="N637" s="20"/>
      <c r="O637" s="16"/>
    </row>
    <row r="638" spans="1:15" s="6" customFormat="1" ht="14.1" customHeight="1">
      <c r="A638" s="132"/>
      <c r="B638" s="133"/>
      <c r="C638" s="43"/>
      <c r="D638" s="43"/>
      <c r="E638" s="43"/>
      <c r="F638" s="22"/>
      <c r="G638" s="43"/>
      <c r="H638" s="43"/>
      <c r="I638" s="23"/>
      <c r="J638" s="25" t="str">
        <f t="shared" si="18"/>
        <v/>
      </c>
      <c r="K638" s="25" t="str">
        <f t="shared" si="19"/>
        <v/>
      </c>
      <c r="L638" s="22"/>
      <c r="M638" s="23"/>
      <c r="N638" s="20"/>
      <c r="O638" s="16"/>
    </row>
    <row r="639" spans="1:15" s="6" customFormat="1" ht="14.1" customHeight="1">
      <c r="A639" s="132"/>
      <c r="B639" s="133"/>
      <c r="C639" s="43"/>
      <c r="D639" s="43"/>
      <c r="E639" s="43"/>
      <c r="F639" s="22"/>
      <c r="G639" s="43"/>
      <c r="H639" s="43"/>
      <c r="I639" s="23"/>
      <c r="J639" s="25" t="str">
        <f t="shared" si="18"/>
        <v/>
      </c>
      <c r="K639" s="25" t="str">
        <f t="shared" si="19"/>
        <v/>
      </c>
      <c r="L639" s="22"/>
      <c r="M639" s="23"/>
      <c r="N639" s="20"/>
      <c r="O639" s="16"/>
    </row>
    <row r="640" spans="1:15" s="6" customFormat="1" ht="14.1" customHeight="1">
      <c r="A640" s="132"/>
      <c r="B640" s="133"/>
      <c r="C640" s="43"/>
      <c r="D640" s="43"/>
      <c r="E640" s="43"/>
      <c r="F640" s="22"/>
      <c r="G640" s="43"/>
      <c r="H640" s="43"/>
      <c r="I640" s="23"/>
      <c r="J640" s="25" t="str">
        <f t="shared" si="18"/>
        <v/>
      </c>
      <c r="K640" s="25" t="str">
        <f t="shared" si="19"/>
        <v/>
      </c>
      <c r="L640" s="22"/>
      <c r="M640" s="23"/>
      <c r="N640" s="20"/>
      <c r="O640" s="16"/>
    </row>
    <row r="641" spans="1:15" s="6" customFormat="1" ht="14.1" customHeight="1">
      <c r="A641" s="132"/>
      <c r="B641" s="133"/>
      <c r="C641" s="43"/>
      <c r="D641" s="43"/>
      <c r="E641" s="43"/>
      <c r="F641" s="22"/>
      <c r="G641" s="43"/>
      <c r="H641" s="43"/>
      <c r="I641" s="23"/>
      <c r="J641" s="25" t="str">
        <f t="shared" si="18"/>
        <v/>
      </c>
      <c r="K641" s="25" t="str">
        <f t="shared" si="19"/>
        <v/>
      </c>
      <c r="L641" s="22"/>
      <c r="M641" s="23"/>
      <c r="N641" s="20"/>
      <c r="O641" s="16"/>
    </row>
    <row r="642" spans="1:15" s="6" customFormat="1" ht="14.1" customHeight="1">
      <c r="A642" s="132"/>
      <c r="B642" s="133"/>
      <c r="C642" s="43"/>
      <c r="D642" s="43"/>
      <c r="E642" s="43"/>
      <c r="F642" s="22"/>
      <c r="G642" s="43"/>
      <c r="H642" s="43"/>
      <c r="I642" s="23"/>
      <c r="J642" s="25" t="str">
        <f t="shared" si="18"/>
        <v/>
      </c>
      <c r="K642" s="25" t="str">
        <f t="shared" si="19"/>
        <v/>
      </c>
      <c r="L642" s="22"/>
      <c r="M642" s="23"/>
      <c r="N642" s="20"/>
      <c r="O642" s="16"/>
    </row>
    <row r="643" spans="1:15" s="6" customFormat="1" ht="14.1" customHeight="1">
      <c r="A643" s="11"/>
      <c r="B643" s="11"/>
      <c r="C643" s="10"/>
      <c r="D643" s="43"/>
      <c r="E643" s="43"/>
      <c r="F643" s="22"/>
      <c r="G643" s="43"/>
      <c r="H643" s="43"/>
      <c r="I643" s="23"/>
      <c r="J643" s="25" t="str">
        <f t="shared" si="18"/>
        <v/>
      </c>
      <c r="K643" s="25" t="str">
        <f t="shared" si="19"/>
        <v/>
      </c>
      <c r="L643" s="22"/>
      <c r="M643" s="23"/>
      <c r="N643" s="20"/>
      <c r="O643" s="16"/>
    </row>
    <row r="644" spans="1:15" s="6" customFormat="1" ht="14.1" customHeight="1">
      <c r="A644" s="11"/>
      <c r="B644" s="11"/>
      <c r="C644" s="10"/>
      <c r="D644" s="43"/>
      <c r="E644" s="43"/>
      <c r="F644" s="22"/>
      <c r="G644" s="43"/>
      <c r="H644" s="43"/>
      <c r="I644" s="23"/>
      <c r="J644" s="25" t="str">
        <f t="shared" si="18"/>
        <v/>
      </c>
      <c r="K644" s="25" t="str">
        <f t="shared" si="19"/>
        <v/>
      </c>
      <c r="L644" s="22"/>
      <c r="M644" s="23"/>
      <c r="N644" s="20"/>
      <c r="O644" s="16"/>
    </row>
    <row r="645" spans="1:15">
      <c r="F645" s="22"/>
      <c r="J645" s="25" t="str">
        <f t="shared" si="18"/>
        <v/>
      </c>
      <c r="K645" s="25" t="str">
        <f t="shared" si="19"/>
        <v/>
      </c>
      <c r="L645" s="22"/>
    </row>
    <row r="646" spans="1:15">
      <c r="F646" s="22"/>
      <c r="J646" s="25" t="str">
        <f t="shared" si="18"/>
        <v/>
      </c>
      <c r="K646" s="25" t="str">
        <f t="shared" si="19"/>
        <v/>
      </c>
      <c r="L646" s="22"/>
    </row>
    <row r="647" spans="1:15">
      <c r="F647" s="22"/>
      <c r="J647" s="25" t="str">
        <f t="shared" si="18"/>
        <v/>
      </c>
      <c r="K647" s="25" t="str">
        <f t="shared" si="19"/>
        <v/>
      </c>
      <c r="L647" s="22"/>
    </row>
    <row r="648" spans="1:15">
      <c r="F648" s="22"/>
      <c r="J648" s="25" t="str">
        <f t="shared" si="18"/>
        <v/>
      </c>
      <c r="K648" s="25" t="str">
        <f t="shared" si="19"/>
        <v/>
      </c>
      <c r="L648" s="22"/>
    </row>
    <row r="649" spans="1:15">
      <c r="F649" s="22"/>
      <c r="J649" s="25" t="str">
        <f t="shared" si="18"/>
        <v/>
      </c>
      <c r="K649" s="25" t="str">
        <f t="shared" si="19"/>
        <v/>
      </c>
      <c r="L649" s="22"/>
    </row>
    <row r="650" spans="1:15">
      <c r="F650" s="22"/>
      <c r="J650" s="25" t="str">
        <f t="shared" si="18"/>
        <v/>
      </c>
      <c r="K650" s="25" t="str">
        <f t="shared" si="19"/>
        <v/>
      </c>
      <c r="L650" s="22"/>
    </row>
    <row r="651" spans="1:15">
      <c r="F651" s="22"/>
      <c r="J651" s="25" t="str">
        <f t="shared" si="18"/>
        <v/>
      </c>
      <c r="K651" s="25" t="str">
        <f t="shared" si="19"/>
        <v/>
      </c>
      <c r="L651" s="22"/>
    </row>
    <row r="652" spans="1:15">
      <c r="F652" s="22"/>
      <c r="J652" s="25" t="str">
        <f t="shared" si="18"/>
        <v/>
      </c>
      <c r="K652" s="25" t="str">
        <f t="shared" si="19"/>
        <v/>
      </c>
      <c r="L652" s="22"/>
    </row>
    <row r="653" spans="1:15">
      <c r="F653" s="22"/>
      <c r="J653" s="25" t="str">
        <f t="shared" ref="J653:J716" si="20">IF(D653&lt;&gt;"",D653,"")</f>
        <v/>
      </c>
      <c r="K653" s="25" t="str">
        <f t="shared" ref="K653:K716" si="21">IF(D653="Passed",E653,IF(D653="Warning",E653,""))</f>
        <v/>
      </c>
      <c r="L653" s="22"/>
    </row>
    <row r="654" spans="1:15">
      <c r="F654" s="22"/>
      <c r="J654" s="25" t="str">
        <f t="shared" si="20"/>
        <v/>
      </c>
      <c r="K654" s="25" t="str">
        <f t="shared" si="21"/>
        <v/>
      </c>
      <c r="L654" s="22"/>
    </row>
    <row r="655" spans="1:15">
      <c r="F655" s="22"/>
      <c r="J655" s="25" t="str">
        <f t="shared" si="20"/>
        <v/>
      </c>
      <c r="K655" s="25" t="str">
        <f t="shared" si="21"/>
        <v/>
      </c>
      <c r="L655" s="22"/>
    </row>
    <row r="656" spans="1:15">
      <c r="F656" s="22"/>
      <c r="J656" s="25" t="str">
        <f t="shared" si="20"/>
        <v/>
      </c>
      <c r="K656" s="25" t="str">
        <f t="shared" si="21"/>
        <v/>
      </c>
      <c r="L656" s="22"/>
    </row>
    <row r="657" spans="6:12">
      <c r="F657" s="22"/>
      <c r="J657" s="25" t="str">
        <f t="shared" si="20"/>
        <v/>
      </c>
      <c r="K657" s="25" t="str">
        <f t="shared" si="21"/>
        <v/>
      </c>
      <c r="L657" s="22"/>
    </row>
    <row r="658" spans="6:12">
      <c r="F658" s="22"/>
      <c r="J658" s="25" t="str">
        <f t="shared" si="20"/>
        <v/>
      </c>
      <c r="K658" s="25" t="str">
        <f t="shared" si="21"/>
        <v/>
      </c>
      <c r="L658" s="22"/>
    </row>
    <row r="659" spans="6:12">
      <c r="F659" s="22"/>
      <c r="J659" s="25" t="str">
        <f t="shared" si="20"/>
        <v/>
      </c>
      <c r="K659" s="25" t="str">
        <f t="shared" si="21"/>
        <v/>
      </c>
      <c r="L659" s="22"/>
    </row>
    <row r="660" spans="6:12">
      <c r="F660" s="22"/>
      <c r="J660" s="25" t="str">
        <f t="shared" si="20"/>
        <v/>
      </c>
      <c r="K660" s="25" t="str">
        <f t="shared" si="21"/>
        <v/>
      </c>
      <c r="L660" s="22"/>
    </row>
    <row r="661" spans="6:12">
      <c r="F661" s="22"/>
      <c r="J661" s="25" t="str">
        <f t="shared" si="20"/>
        <v/>
      </c>
      <c r="K661" s="25" t="str">
        <f t="shared" si="21"/>
        <v/>
      </c>
      <c r="L661" s="22"/>
    </row>
    <row r="662" spans="6:12">
      <c r="F662" s="22"/>
      <c r="J662" s="25" t="str">
        <f t="shared" si="20"/>
        <v/>
      </c>
      <c r="K662" s="25" t="str">
        <f t="shared" si="21"/>
        <v/>
      </c>
      <c r="L662" s="22"/>
    </row>
    <row r="663" spans="6:12">
      <c r="F663" s="22"/>
      <c r="J663" s="25" t="str">
        <f t="shared" si="20"/>
        <v/>
      </c>
      <c r="K663" s="25" t="str">
        <f t="shared" si="21"/>
        <v/>
      </c>
      <c r="L663" s="22"/>
    </row>
    <row r="664" spans="6:12">
      <c r="F664" s="22"/>
      <c r="J664" s="25" t="str">
        <f t="shared" si="20"/>
        <v/>
      </c>
      <c r="K664" s="25" t="str">
        <f t="shared" si="21"/>
        <v/>
      </c>
      <c r="L664" s="22"/>
    </row>
    <row r="665" spans="6:12">
      <c r="F665" s="22"/>
      <c r="J665" s="25" t="str">
        <f t="shared" si="20"/>
        <v/>
      </c>
      <c r="K665" s="25" t="str">
        <f t="shared" si="21"/>
        <v/>
      </c>
      <c r="L665" s="22"/>
    </row>
    <row r="666" spans="6:12">
      <c r="F666" s="22"/>
      <c r="J666" s="25" t="str">
        <f t="shared" si="20"/>
        <v/>
      </c>
      <c r="K666" s="25" t="str">
        <f t="shared" si="21"/>
        <v/>
      </c>
      <c r="L666" s="22"/>
    </row>
    <row r="667" spans="6:12">
      <c r="F667" s="22"/>
      <c r="J667" s="25" t="str">
        <f t="shared" si="20"/>
        <v/>
      </c>
      <c r="K667" s="25" t="str">
        <f t="shared" si="21"/>
        <v/>
      </c>
      <c r="L667" s="22"/>
    </row>
    <row r="668" spans="6:12">
      <c r="F668" s="22"/>
      <c r="J668" s="25" t="str">
        <f t="shared" si="20"/>
        <v/>
      </c>
      <c r="K668" s="25" t="str">
        <f t="shared" si="21"/>
        <v/>
      </c>
      <c r="L668" s="22"/>
    </row>
    <row r="669" spans="6:12">
      <c r="F669" s="22"/>
      <c r="J669" s="25" t="str">
        <f t="shared" si="20"/>
        <v/>
      </c>
      <c r="K669" s="25" t="str">
        <f t="shared" si="21"/>
        <v/>
      </c>
      <c r="L669" s="22"/>
    </row>
    <row r="670" spans="6:12">
      <c r="F670" s="22"/>
      <c r="J670" s="25" t="str">
        <f t="shared" si="20"/>
        <v/>
      </c>
      <c r="K670" s="25" t="str">
        <f t="shared" si="21"/>
        <v/>
      </c>
      <c r="L670" s="22"/>
    </row>
    <row r="671" spans="6:12">
      <c r="F671" s="22"/>
      <c r="J671" s="25" t="str">
        <f t="shared" si="20"/>
        <v/>
      </c>
      <c r="K671" s="25" t="str">
        <f t="shared" si="21"/>
        <v/>
      </c>
      <c r="L671" s="22"/>
    </row>
    <row r="672" spans="6:12">
      <c r="F672" s="22"/>
      <c r="J672" s="25" t="str">
        <f t="shared" si="20"/>
        <v/>
      </c>
      <c r="K672" s="25" t="str">
        <f t="shared" si="21"/>
        <v/>
      </c>
      <c r="L672" s="22"/>
    </row>
    <row r="673" spans="6:12">
      <c r="F673" s="22"/>
      <c r="J673" s="25" t="str">
        <f t="shared" si="20"/>
        <v/>
      </c>
      <c r="K673" s="25" t="str">
        <f t="shared" si="21"/>
        <v/>
      </c>
      <c r="L673" s="22"/>
    </row>
    <row r="674" spans="6:12">
      <c r="F674" s="22"/>
      <c r="J674" s="25" t="str">
        <f t="shared" si="20"/>
        <v/>
      </c>
      <c r="K674" s="25" t="str">
        <f t="shared" si="21"/>
        <v/>
      </c>
      <c r="L674" s="22"/>
    </row>
    <row r="675" spans="6:12">
      <c r="F675" s="22"/>
      <c r="J675" s="25" t="str">
        <f t="shared" si="20"/>
        <v/>
      </c>
      <c r="K675" s="25" t="str">
        <f t="shared" si="21"/>
        <v/>
      </c>
      <c r="L675" s="22"/>
    </row>
    <row r="676" spans="6:12">
      <c r="F676" s="22"/>
      <c r="J676" s="25" t="str">
        <f t="shared" si="20"/>
        <v/>
      </c>
      <c r="K676" s="25" t="str">
        <f t="shared" si="21"/>
        <v/>
      </c>
      <c r="L676" s="22"/>
    </row>
    <row r="677" spans="6:12">
      <c r="F677" s="22"/>
      <c r="J677" s="25" t="str">
        <f t="shared" si="20"/>
        <v/>
      </c>
      <c r="K677" s="25" t="str">
        <f t="shared" si="21"/>
        <v/>
      </c>
      <c r="L677" s="22"/>
    </row>
    <row r="678" spans="6:12">
      <c r="F678" s="22"/>
      <c r="J678" s="25" t="str">
        <f t="shared" si="20"/>
        <v/>
      </c>
      <c r="K678" s="25" t="str">
        <f t="shared" si="21"/>
        <v/>
      </c>
      <c r="L678" s="22"/>
    </row>
    <row r="679" spans="6:12">
      <c r="F679" s="22"/>
      <c r="J679" s="25" t="str">
        <f t="shared" si="20"/>
        <v/>
      </c>
      <c r="K679" s="25" t="str">
        <f t="shared" si="21"/>
        <v/>
      </c>
      <c r="L679" s="22"/>
    </row>
    <row r="680" spans="6:12">
      <c r="F680" s="22"/>
      <c r="J680" s="25" t="str">
        <f t="shared" si="20"/>
        <v/>
      </c>
      <c r="K680" s="25" t="str">
        <f t="shared" si="21"/>
        <v/>
      </c>
      <c r="L680" s="22"/>
    </row>
    <row r="681" spans="6:12">
      <c r="F681" s="22"/>
      <c r="J681" s="25" t="str">
        <f t="shared" si="20"/>
        <v/>
      </c>
      <c r="K681" s="25" t="str">
        <f t="shared" si="21"/>
        <v/>
      </c>
      <c r="L681" s="22"/>
    </row>
    <row r="682" spans="6:12">
      <c r="F682" s="22"/>
      <c r="J682" s="25" t="str">
        <f t="shared" si="20"/>
        <v/>
      </c>
      <c r="K682" s="25" t="str">
        <f t="shared" si="21"/>
        <v/>
      </c>
      <c r="L682" s="22"/>
    </row>
    <row r="683" spans="6:12">
      <c r="F683" s="22"/>
      <c r="J683" s="25" t="str">
        <f t="shared" si="20"/>
        <v/>
      </c>
      <c r="K683" s="25" t="str">
        <f t="shared" si="21"/>
        <v/>
      </c>
      <c r="L683" s="22"/>
    </row>
    <row r="684" spans="6:12">
      <c r="F684" s="22"/>
      <c r="J684" s="25" t="str">
        <f t="shared" si="20"/>
        <v/>
      </c>
      <c r="K684" s="25" t="str">
        <f t="shared" si="21"/>
        <v/>
      </c>
      <c r="L684" s="22"/>
    </row>
    <row r="685" spans="6:12">
      <c r="F685" s="22"/>
      <c r="J685" s="25" t="str">
        <f t="shared" si="20"/>
        <v/>
      </c>
      <c r="K685" s="25" t="str">
        <f t="shared" si="21"/>
        <v/>
      </c>
      <c r="L685" s="22"/>
    </row>
    <row r="686" spans="6:12">
      <c r="F686" s="22"/>
      <c r="J686" s="25" t="str">
        <f t="shared" si="20"/>
        <v/>
      </c>
      <c r="K686" s="25" t="str">
        <f t="shared" si="21"/>
        <v/>
      </c>
      <c r="L686" s="22"/>
    </row>
    <row r="687" spans="6:12">
      <c r="F687" s="22"/>
      <c r="J687" s="25" t="str">
        <f t="shared" si="20"/>
        <v/>
      </c>
      <c r="K687" s="25" t="str">
        <f t="shared" si="21"/>
        <v/>
      </c>
      <c r="L687" s="22"/>
    </row>
    <row r="688" spans="6:12">
      <c r="F688" s="22"/>
      <c r="J688" s="25" t="str">
        <f t="shared" si="20"/>
        <v/>
      </c>
      <c r="K688" s="25" t="str">
        <f t="shared" si="21"/>
        <v/>
      </c>
      <c r="L688" s="22"/>
    </row>
    <row r="689" spans="6:12">
      <c r="F689" s="22"/>
      <c r="J689" s="25" t="str">
        <f t="shared" si="20"/>
        <v/>
      </c>
      <c r="K689" s="25" t="str">
        <f t="shared" si="21"/>
        <v/>
      </c>
      <c r="L689" s="22"/>
    </row>
    <row r="690" spans="6:12">
      <c r="F690" s="22"/>
      <c r="J690" s="25" t="str">
        <f t="shared" si="20"/>
        <v/>
      </c>
      <c r="K690" s="25" t="str">
        <f t="shared" si="21"/>
        <v/>
      </c>
      <c r="L690" s="22"/>
    </row>
    <row r="691" spans="6:12">
      <c r="F691" s="22"/>
      <c r="J691" s="25" t="str">
        <f t="shared" si="20"/>
        <v/>
      </c>
      <c r="K691" s="25" t="str">
        <f t="shared" si="21"/>
        <v/>
      </c>
      <c r="L691" s="22"/>
    </row>
    <row r="692" spans="6:12">
      <c r="F692" s="22"/>
      <c r="J692" s="25" t="str">
        <f t="shared" si="20"/>
        <v/>
      </c>
      <c r="K692" s="25" t="str">
        <f t="shared" si="21"/>
        <v/>
      </c>
      <c r="L692" s="22"/>
    </row>
    <row r="693" spans="6:12">
      <c r="F693" s="22"/>
      <c r="J693" s="25" t="str">
        <f t="shared" si="20"/>
        <v/>
      </c>
      <c r="K693" s="25" t="str">
        <f t="shared" si="21"/>
        <v/>
      </c>
      <c r="L693" s="22"/>
    </row>
    <row r="694" spans="6:12">
      <c r="F694" s="22"/>
      <c r="J694" s="25" t="str">
        <f t="shared" si="20"/>
        <v/>
      </c>
      <c r="K694" s="25" t="str">
        <f t="shared" si="21"/>
        <v/>
      </c>
      <c r="L694" s="22"/>
    </row>
    <row r="695" spans="6:12">
      <c r="F695" s="22"/>
      <c r="J695" s="25" t="str">
        <f t="shared" si="20"/>
        <v/>
      </c>
      <c r="K695" s="25" t="str">
        <f t="shared" si="21"/>
        <v/>
      </c>
      <c r="L695" s="22"/>
    </row>
    <row r="696" spans="6:12">
      <c r="F696" s="22"/>
      <c r="J696" s="25" t="str">
        <f t="shared" si="20"/>
        <v/>
      </c>
      <c r="K696" s="25" t="str">
        <f t="shared" si="21"/>
        <v/>
      </c>
      <c r="L696" s="22"/>
    </row>
    <row r="697" spans="6:12">
      <c r="F697" s="22"/>
      <c r="J697" s="25" t="str">
        <f t="shared" si="20"/>
        <v/>
      </c>
      <c r="K697" s="25" t="str">
        <f t="shared" si="21"/>
        <v/>
      </c>
      <c r="L697" s="22"/>
    </row>
    <row r="698" spans="6:12">
      <c r="F698" s="22"/>
      <c r="J698" s="25" t="str">
        <f t="shared" si="20"/>
        <v/>
      </c>
      <c r="K698" s="25" t="str">
        <f t="shared" si="21"/>
        <v/>
      </c>
      <c r="L698" s="22"/>
    </row>
    <row r="699" spans="6:12">
      <c r="F699" s="22"/>
      <c r="J699" s="25" t="str">
        <f t="shared" si="20"/>
        <v/>
      </c>
      <c r="K699" s="25" t="str">
        <f t="shared" si="21"/>
        <v/>
      </c>
      <c r="L699" s="22"/>
    </row>
    <row r="700" spans="6:12">
      <c r="F700" s="22"/>
      <c r="J700" s="25" t="str">
        <f t="shared" si="20"/>
        <v/>
      </c>
      <c r="K700" s="25" t="str">
        <f t="shared" si="21"/>
        <v/>
      </c>
      <c r="L700" s="22"/>
    </row>
    <row r="701" spans="6:12">
      <c r="F701" s="22"/>
      <c r="J701" s="25" t="str">
        <f t="shared" si="20"/>
        <v/>
      </c>
      <c r="K701" s="25" t="str">
        <f t="shared" si="21"/>
        <v/>
      </c>
      <c r="L701" s="22"/>
    </row>
    <row r="702" spans="6:12">
      <c r="F702" s="22"/>
      <c r="J702" s="25" t="str">
        <f t="shared" si="20"/>
        <v/>
      </c>
      <c r="K702" s="25" t="str">
        <f t="shared" si="21"/>
        <v/>
      </c>
      <c r="L702" s="22"/>
    </row>
    <row r="703" spans="6:12">
      <c r="F703" s="22"/>
      <c r="J703" s="25" t="str">
        <f t="shared" si="20"/>
        <v/>
      </c>
      <c r="K703" s="25" t="str">
        <f t="shared" si="21"/>
        <v/>
      </c>
      <c r="L703" s="22"/>
    </row>
    <row r="704" spans="6:12">
      <c r="F704" s="22"/>
      <c r="J704" s="25" t="str">
        <f t="shared" si="20"/>
        <v/>
      </c>
      <c r="K704" s="25" t="str">
        <f t="shared" si="21"/>
        <v/>
      </c>
      <c r="L704" s="22"/>
    </row>
    <row r="705" spans="6:12">
      <c r="F705" s="22"/>
      <c r="J705" s="25" t="str">
        <f t="shared" si="20"/>
        <v/>
      </c>
      <c r="K705" s="25" t="str">
        <f t="shared" si="21"/>
        <v/>
      </c>
      <c r="L705" s="22"/>
    </row>
    <row r="706" spans="6:12">
      <c r="F706" s="22"/>
      <c r="J706" s="25" t="str">
        <f t="shared" si="20"/>
        <v/>
      </c>
      <c r="K706" s="25" t="str">
        <f t="shared" si="21"/>
        <v/>
      </c>
      <c r="L706" s="22"/>
    </row>
    <row r="707" spans="6:12">
      <c r="F707" s="22"/>
      <c r="J707" s="25" t="str">
        <f t="shared" si="20"/>
        <v/>
      </c>
      <c r="K707" s="25" t="str">
        <f t="shared" si="21"/>
        <v/>
      </c>
      <c r="L707" s="22"/>
    </row>
    <row r="708" spans="6:12">
      <c r="F708" s="22"/>
      <c r="J708" s="25" t="str">
        <f t="shared" si="20"/>
        <v/>
      </c>
      <c r="K708" s="25" t="str">
        <f t="shared" si="21"/>
        <v/>
      </c>
      <c r="L708" s="22"/>
    </row>
    <row r="709" spans="6:12">
      <c r="F709" s="22"/>
      <c r="J709" s="25" t="str">
        <f t="shared" si="20"/>
        <v/>
      </c>
      <c r="K709" s="25" t="str">
        <f t="shared" si="21"/>
        <v/>
      </c>
      <c r="L709" s="22"/>
    </row>
    <row r="710" spans="6:12">
      <c r="F710" s="22"/>
      <c r="J710" s="25" t="str">
        <f t="shared" si="20"/>
        <v/>
      </c>
      <c r="K710" s="25" t="str">
        <f t="shared" si="21"/>
        <v/>
      </c>
      <c r="L710" s="22"/>
    </row>
    <row r="711" spans="6:12">
      <c r="F711" s="22"/>
      <c r="J711" s="25" t="str">
        <f t="shared" si="20"/>
        <v/>
      </c>
      <c r="K711" s="25" t="str">
        <f t="shared" si="21"/>
        <v/>
      </c>
      <c r="L711" s="22"/>
    </row>
    <row r="712" spans="6:12">
      <c r="F712" s="22"/>
      <c r="J712" s="25" t="str">
        <f t="shared" si="20"/>
        <v/>
      </c>
      <c r="K712" s="25" t="str">
        <f t="shared" si="21"/>
        <v/>
      </c>
      <c r="L712" s="22"/>
    </row>
    <row r="713" spans="6:12">
      <c r="F713" s="22"/>
      <c r="J713" s="25" t="str">
        <f t="shared" si="20"/>
        <v/>
      </c>
      <c r="K713" s="25" t="str">
        <f t="shared" si="21"/>
        <v/>
      </c>
      <c r="L713" s="22"/>
    </row>
    <row r="714" spans="6:12">
      <c r="F714" s="22"/>
      <c r="J714" s="25" t="str">
        <f t="shared" si="20"/>
        <v/>
      </c>
      <c r="K714" s="25" t="str">
        <f t="shared" si="21"/>
        <v/>
      </c>
      <c r="L714" s="22"/>
    </row>
    <row r="715" spans="6:12">
      <c r="F715" s="22"/>
      <c r="J715" s="25" t="str">
        <f t="shared" si="20"/>
        <v/>
      </c>
      <c r="K715" s="25" t="str">
        <f t="shared" si="21"/>
        <v/>
      </c>
      <c r="L715" s="22"/>
    </row>
    <row r="716" spans="6:12">
      <c r="F716" s="22"/>
      <c r="J716" s="25" t="str">
        <f t="shared" si="20"/>
        <v/>
      </c>
      <c r="K716" s="25" t="str">
        <f t="shared" si="21"/>
        <v/>
      </c>
      <c r="L716" s="22"/>
    </row>
    <row r="717" spans="6:12">
      <c r="F717" s="22"/>
      <c r="J717" s="25" t="str">
        <f t="shared" ref="J717:J780" si="22">IF(D717&lt;&gt;"",D717,"")</f>
        <v/>
      </c>
      <c r="K717" s="25" t="str">
        <f t="shared" ref="K717:K780" si="23">IF(D717="Passed",E717,IF(D717="Warning",E717,""))</f>
        <v/>
      </c>
      <c r="L717" s="22"/>
    </row>
    <row r="718" spans="6:12">
      <c r="F718" s="22"/>
      <c r="J718" s="25" t="str">
        <f t="shared" si="22"/>
        <v/>
      </c>
      <c r="K718" s="25" t="str">
        <f t="shared" si="23"/>
        <v/>
      </c>
      <c r="L718" s="22"/>
    </row>
    <row r="719" spans="6:12">
      <c r="F719" s="22"/>
      <c r="J719" s="25" t="str">
        <f t="shared" si="22"/>
        <v/>
      </c>
      <c r="K719" s="25" t="str">
        <f t="shared" si="23"/>
        <v/>
      </c>
      <c r="L719" s="22"/>
    </row>
    <row r="720" spans="6:12">
      <c r="F720" s="22"/>
      <c r="J720" s="25" t="str">
        <f t="shared" si="22"/>
        <v/>
      </c>
      <c r="K720" s="25" t="str">
        <f t="shared" si="23"/>
        <v/>
      </c>
      <c r="L720" s="22"/>
    </row>
    <row r="721" spans="6:12">
      <c r="F721" s="22"/>
      <c r="J721" s="25" t="str">
        <f t="shared" si="22"/>
        <v/>
      </c>
      <c r="K721" s="25" t="str">
        <f t="shared" si="23"/>
        <v/>
      </c>
      <c r="L721" s="22"/>
    </row>
    <row r="722" spans="6:12">
      <c r="F722" s="22"/>
      <c r="J722" s="25" t="str">
        <f t="shared" si="22"/>
        <v/>
      </c>
      <c r="K722" s="25" t="str">
        <f t="shared" si="23"/>
        <v/>
      </c>
      <c r="L722" s="22"/>
    </row>
    <row r="723" spans="6:12">
      <c r="F723" s="22"/>
      <c r="J723" s="25" t="str">
        <f t="shared" si="22"/>
        <v/>
      </c>
      <c r="K723" s="25" t="str">
        <f t="shared" si="23"/>
        <v/>
      </c>
      <c r="L723" s="22"/>
    </row>
    <row r="724" spans="6:12">
      <c r="F724" s="22"/>
      <c r="J724" s="25" t="str">
        <f t="shared" si="22"/>
        <v/>
      </c>
      <c r="K724" s="25" t="str">
        <f t="shared" si="23"/>
        <v/>
      </c>
      <c r="L724" s="22"/>
    </row>
    <row r="725" spans="6:12">
      <c r="F725" s="22"/>
      <c r="J725" s="25" t="str">
        <f t="shared" si="22"/>
        <v/>
      </c>
      <c r="K725" s="25" t="str">
        <f t="shared" si="23"/>
        <v/>
      </c>
      <c r="L725" s="22"/>
    </row>
    <row r="726" spans="6:12">
      <c r="F726" s="22"/>
      <c r="J726" s="25" t="str">
        <f t="shared" si="22"/>
        <v/>
      </c>
      <c r="K726" s="25" t="str">
        <f t="shared" si="23"/>
        <v/>
      </c>
      <c r="L726" s="22"/>
    </row>
    <row r="727" spans="6:12">
      <c r="F727" s="22"/>
      <c r="J727" s="25" t="str">
        <f t="shared" si="22"/>
        <v/>
      </c>
      <c r="K727" s="25" t="str">
        <f t="shared" si="23"/>
        <v/>
      </c>
      <c r="L727" s="22"/>
    </row>
    <row r="728" spans="6:12">
      <c r="F728" s="22"/>
      <c r="J728" s="25" t="str">
        <f t="shared" si="22"/>
        <v/>
      </c>
      <c r="K728" s="25" t="str">
        <f t="shared" si="23"/>
        <v/>
      </c>
      <c r="L728" s="22"/>
    </row>
    <row r="729" spans="6:12">
      <c r="F729" s="22"/>
      <c r="J729" s="25" t="str">
        <f t="shared" si="22"/>
        <v/>
      </c>
      <c r="K729" s="25" t="str">
        <f t="shared" si="23"/>
        <v/>
      </c>
      <c r="L729" s="22"/>
    </row>
    <row r="730" spans="6:12">
      <c r="F730" s="22"/>
      <c r="J730" s="25" t="str">
        <f t="shared" si="22"/>
        <v/>
      </c>
      <c r="K730" s="25" t="str">
        <f t="shared" si="23"/>
        <v/>
      </c>
      <c r="L730" s="22"/>
    </row>
    <row r="731" spans="6:12">
      <c r="F731" s="22"/>
      <c r="J731" s="25" t="str">
        <f t="shared" si="22"/>
        <v/>
      </c>
      <c r="K731" s="25" t="str">
        <f t="shared" si="23"/>
        <v/>
      </c>
      <c r="L731" s="22"/>
    </row>
    <row r="732" spans="6:12">
      <c r="F732" s="22"/>
      <c r="J732" s="25" t="str">
        <f t="shared" si="22"/>
        <v/>
      </c>
      <c r="K732" s="25" t="str">
        <f t="shared" si="23"/>
        <v/>
      </c>
      <c r="L732" s="22"/>
    </row>
    <row r="733" spans="6:12">
      <c r="F733" s="22"/>
      <c r="J733" s="25" t="str">
        <f t="shared" si="22"/>
        <v/>
      </c>
      <c r="K733" s="25" t="str">
        <f t="shared" si="23"/>
        <v/>
      </c>
      <c r="L733" s="22"/>
    </row>
    <row r="734" spans="6:12">
      <c r="F734" s="22"/>
      <c r="J734" s="25" t="str">
        <f t="shared" si="22"/>
        <v/>
      </c>
      <c r="K734" s="25" t="str">
        <f t="shared" si="23"/>
        <v/>
      </c>
      <c r="L734" s="22"/>
    </row>
    <row r="735" spans="6:12">
      <c r="F735" s="22"/>
      <c r="J735" s="25" t="str">
        <f t="shared" si="22"/>
        <v/>
      </c>
      <c r="K735" s="25" t="str">
        <f t="shared" si="23"/>
        <v/>
      </c>
      <c r="L735" s="22"/>
    </row>
    <row r="736" spans="6:12">
      <c r="F736" s="22"/>
      <c r="J736" s="25" t="str">
        <f t="shared" si="22"/>
        <v/>
      </c>
      <c r="K736" s="25" t="str">
        <f t="shared" si="23"/>
        <v/>
      </c>
      <c r="L736" s="22"/>
    </row>
    <row r="737" spans="6:12">
      <c r="F737" s="22"/>
      <c r="J737" s="25" t="str">
        <f t="shared" si="22"/>
        <v/>
      </c>
      <c r="K737" s="25" t="str">
        <f t="shared" si="23"/>
        <v/>
      </c>
      <c r="L737" s="22"/>
    </row>
    <row r="738" spans="6:12">
      <c r="F738" s="22"/>
      <c r="J738" s="25" t="str">
        <f t="shared" si="22"/>
        <v/>
      </c>
      <c r="K738" s="25" t="str">
        <f t="shared" si="23"/>
        <v/>
      </c>
      <c r="L738" s="22"/>
    </row>
    <row r="739" spans="6:12">
      <c r="F739" s="22"/>
      <c r="J739" s="25" t="str">
        <f t="shared" si="22"/>
        <v/>
      </c>
      <c r="K739" s="25" t="str">
        <f t="shared" si="23"/>
        <v/>
      </c>
      <c r="L739" s="22"/>
    </row>
    <row r="740" spans="6:12">
      <c r="F740" s="22"/>
      <c r="J740" s="25" t="str">
        <f t="shared" si="22"/>
        <v/>
      </c>
      <c r="K740" s="25" t="str">
        <f t="shared" si="23"/>
        <v/>
      </c>
      <c r="L740" s="22"/>
    </row>
    <row r="741" spans="6:12">
      <c r="F741" s="22"/>
      <c r="J741" s="25" t="str">
        <f t="shared" si="22"/>
        <v/>
      </c>
      <c r="K741" s="25" t="str">
        <f t="shared" si="23"/>
        <v/>
      </c>
      <c r="L741" s="22"/>
    </row>
    <row r="742" spans="6:12">
      <c r="F742" s="22"/>
      <c r="J742" s="25" t="str">
        <f t="shared" si="22"/>
        <v/>
      </c>
      <c r="K742" s="25" t="str">
        <f t="shared" si="23"/>
        <v/>
      </c>
      <c r="L742" s="22"/>
    </row>
    <row r="743" spans="6:12">
      <c r="F743" s="22"/>
      <c r="J743" s="25" t="str">
        <f t="shared" si="22"/>
        <v/>
      </c>
      <c r="K743" s="25" t="str">
        <f t="shared" si="23"/>
        <v/>
      </c>
      <c r="L743" s="22"/>
    </row>
    <row r="744" spans="6:12">
      <c r="F744" s="22"/>
      <c r="J744" s="25" t="str">
        <f t="shared" si="22"/>
        <v/>
      </c>
      <c r="K744" s="25" t="str">
        <f t="shared" si="23"/>
        <v/>
      </c>
      <c r="L744" s="22"/>
    </row>
    <row r="745" spans="6:12">
      <c r="F745" s="22"/>
      <c r="J745" s="25" t="str">
        <f t="shared" si="22"/>
        <v/>
      </c>
      <c r="K745" s="25" t="str">
        <f t="shared" si="23"/>
        <v/>
      </c>
      <c r="L745" s="22"/>
    </row>
    <row r="746" spans="6:12">
      <c r="F746" s="22"/>
      <c r="J746" s="25" t="str">
        <f t="shared" si="22"/>
        <v/>
      </c>
      <c r="K746" s="25" t="str">
        <f t="shared" si="23"/>
        <v/>
      </c>
      <c r="L746" s="22"/>
    </row>
    <row r="747" spans="6:12">
      <c r="F747" s="22"/>
      <c r="J747" s="25" t="str">
        <f t="shared" si="22"/>
        <v/>
      </c>
      <c r="K747" s="25" t="str">
        <f t="shared" si="23"/>
        <v/>
      </c>
      <c r="L747" s="22"/>
    </row>
    <row r="748" spans="6:12">
      <c r="F748" s="22"/>
      <c r="J748" s="25" t="str">
        <f t="shared" si="22"/>
        <v/>
      </c>
      <c r="K748" s="25" t="str">
        <f t="shared" si="23"/>
        <v/>
      </c>
      <c r="L748" s="22"/>
    </row>
    <row r="749" spans="6:12">
      <c r="F749" s="22"/>
      <c r="J749" s="25" t="str">
        <f t="shared" si="22"/>
        <v/>
      </c>
      <c r="K749" s="25" t="str">
        <f t="shared" si="23"/>
        <v/>
      </c>
      <c r="L749" s="22"/>
    </row>
    <row r="750" spans="6:12">
      <c r="F750" s="22"/>
      <c r="J750" s="25" t="str">
        <f t="shared" si="22"/>
        <v/>
      </c>
      <c r="K750" s="25" t="str">
        <f t="shared" si="23"/>
        <v/>
      </c>
      <c r="L750" s="22"/>
    </row>
    <row r="751" spans="6:12">
      <c r="F751" s="22"/>
      <c r="J751" s="25" t="str">
        <f t="shared" si="22"/>
        <v/>
      </c>
      <c r="K751" s="25" t="str">
        <f t="shared" si="23"/>
        <v/>
      </c>
      <c r="L751" s="22"/>
    </row>
    <row r="752" spans="6:12">
      <c r="F752" s="22"/>
      <c r="J752" s="25" t="str">
        <f t="shared" si="22"/>
        <v/>
      </c>
      <c r="K752" s="25" t="str">
        <f t="shared" si="23"/>
        <v/>
      </c>
      <c r="L752" s="22"/>
    </row>
    <row r="753" spans="6:12">
      <c r="F753" s="22"/>
      <c r="J753" s="25" t="str">
        <f t="shared" si="22"/>
        <v/>
      </c>
      <c r="K753" s="25" t="str">
        <f t="shared" si="23"/>
        <v/>
      </c>
      <c r="L753" s="22"/>
    </row>
    <row r="754" spans="6:12">
      <c r="F754" s="22"/>
      <c r="J754" s="25" t="str">
        <f t="shared" si="22"/>
        <v/>
      </c>
      <c r="K754" s="25" t="str">
        <f t="shared" si="23"/>
        <v/>
      </c>
      <c r="L754" s="22"/>
    </row>
    <row r="755" spans="6:12">
      <c r="F755" s="22"/>
      <c r="J755" s="25" t="str">
        <f t="shared" si="22"/>
        <v/>
      </c>
      <c r="K755" s="25" t="str">
        <f t="shared" si="23"/>
        <v/>
      </c>
      <c r="L755" s="22"/>
    </row>
    <row r="756" spans="6:12">
      <c r="F756" s="22"/>
      <c r="J756" s="25" t="str">
        <f t="shared" si="22"/>
        <v/>
      </c>
      <c r="K756" s="25" t="str">
        <f t="shared" si="23"/>
        <v/>
      </c>
      <c r="L756" s="22"/>
    </row>
    <row r="757" spans="6:12">
      <c r="F757" s="22"/>
      <c r="J757" s="25" t="str">
        <f t="shared" si="22"/>
        <v/>
      </c>
      <c r="K757" s="25" t="str">
        <f t="shared" si="23"/>
        <v/>
      </c>
      <c r="L757" s="22"/>
    </row>
    <row r="758" spans="6:12">
      <c r="F758" s="22"/>
      <c r="J758" s="25" t="str">
        <f t="shared" si="22"/>
        <v/>
      </c>
      <c r="K758" s="25" t="str">
        <f t="shared" si="23"/>
        <v/>
      </c>
      <c r="L758" s="22"/>
    </row>
    <row r="759" spans="6:12">
      <c r="F759" s="22"/>
      <c r="J759" s="25" t="str">
        <f t="shared" si="22"/>
        <v/>
      </c>
      <c r="K759" s="25" t="str">
        <f t="shared" si="23"/>
        <v/>
      </c>
      <c r="L759" s="22"/>
    </row>
    <row r="760" spans="6:12">
      <c r="F760" s="22"/>
      <c r="J760" s="25" t="str">
        <f t="shared" si="22"/>
        <v/>
      </c>
      <c r="K760" s="25" t="str">
        <f t="shared" si="23"/>
        <v/>
      </c>
      <c r="L760" s="22"/>
    </row>
    <row r="761" spans="6:12">
      <c r="F761" s="22"/>
      <c r="J761" s="25" t="str">
        <f t="shared" si="22"/>
        <v/>
      </c>
      <c r="K761" s="25" t="str">
        <f t="shared" si="23"/>
        <v/>
      </c>
      <c r="L761" s="22"/>
    </row>
    <row r="762" spans="6:12">
      <c r="F762" s="22"/>
      <c r="J762" s="25" t="str">
        <f t="shared" si="22"/>
        <v/>
      </c>
      <c r="K762" s="25" t="str">
        <f t="shared" si="23"/>
        <v/>
      </c>
      <c r="L762" s="22"/>
    </row>
    <row r="763" spans="6:12">
      <c r="F763" s="22"/>
      <c r="J763" s="25" t="str">
        <f t="shared" si="22"/>
        <v/>
      </c>
      <c r="K763" s="25" t="str">
        <f t="shared" si="23"/>
        <v/>
      </c>
      <c r="L763" s="22"/>
    </row>
    <row r="764" spans="6:12">
      <c r="F764" s="22"/>
      <c r="J764" s="25" t="str">
        <f t="shared" si="22"/>
        <v/>
      </c>
      <c r="K764" s="25" t="str">
        <f t="shared" si="23"/>
        <v/>
      </c>
      <c r="L764" s="22"/>
    </row>
    <row r="765" spans="6:12">
      <c r="F765" s="22"/>
      <c r="J765" s="25" t="str">
        <f t="shared" si="22"/>
        <v/>
      </c>
      <c r="K765" s="25" t="str">
        <f t="shared" si="23"/>
        <v/>
      </c>
      <c r="L765" s="22"/>
    </row>
    <row r="766" spans="6:12">
      <c r="F766" s="22"/>
      <c r="J766" s="25" t="str">
        <f t="shared" si="22"/>
        <v/>
      </c>
      <c r="K766" s="25" t="str">
        <f t="shared" si="23"/>
        <v/>
      </c>
      <c r="L766" s="22"/>
    </row>
    <row r="767" spans="6:12">
      <c r="F767" s="22"/>
      <c r="J767" s="25" t="str">
        <f t="shared" si="22"/>
        <v/>
      </c>
      <c r="K767" s="25" t="str">
        <f t="shared" si="23"/>
        <v/>
      </c>
      <c r="L767" s="22"/>
    </row>
    <row r="768" spans="6:12">
      <c r="F768" s="22"/>
      <c r="J768" s="25" t="str">
        <f t="shared" si="22"/>
        <v/>
      </c>
      <c r="K768" s="25" t="str">
        <f t="shared" si="23"/>
        <v/>
      </c>
      <c r="L768" s="22"/>
    </row>
    <row r="769" spans="6:12">
      <c r="F769" s="22"/>
      <c r="J769" s="25" t="str">
        <f t="shared" si="22"/>
        <v/>
      </c>
      <c r="K769" s="25" t="str">
        <f t="shared" si="23"/>
        <v/>
      </c>
      <c r="L769" s="22"/>
    </row>
    <row r="770" spans="6:12">
      <c r="F770" s="22"/>
      <c r="J770" s="25" t="str">
        <f t="shared" si="22"/>
        <v/>
      </c>
      <c r="K770" s="25" t="str">
        <f t="shared" si="23"/>
        <v/>
      </c>
      <c r="L770" s="22"/>
    </row>
    <row r="771" spans="6:12">
      <c r="F771" s="22"/>
      <c r="J771" s="25" t="str">
        <f t="shared" si="22"/>
        <v/>
      </c>
      <c r="K771" s="25" t="str">
        <f t="shared" si="23"/>
        <v/>
      </c>
      <c r="L771" s="22"/>
    </row>
    <row r="772" spans="6:12">
      <c r="F772" s="22"/>
      <c r="J772" s="25" t="str">
        <f t="shared" si="22"/>
        <v/>
      </c>
      <c r="K772" s="25" t="str">
        <f t="shared" si="23"/>
        <v/>
      </c>
      <c r="L772" s="22"/>
    </row>
    <row r="773" spans="6:12">
      <c r="F773" s="22"/>
      <c r="J773" s="25" t="str">
        <f t="shared" si="22"/>
        <v/>
      </c>
      <c r="K773" s="25" t="str">
        <f t="shared" si="23"/>
        <v/>
      </c>
      <c r="L773" s="22"/>
    </row>
    <row r="774" spans="6:12">
      <c r="F774" s="22"/>
      <c r="J774" s="25" t="str">
        <f t="shared" si="22"/>
        <v/>
      </c>
      <c r="K774" s="25" t="str">
        <f t="shared" si="23"/>
        <v/>
      </c>
      <c r="L774" s="22"/>
    </row>
    <row r="775" spans="6:12">
      <c r="F775" s="22"/>
      <c r="J775" s="25" t="str">
        <f t="shared" si="22"/>
        <v/>
      </c>
      <c r="K775" s="25" t="str">
        <f t="shared" si="23"/>
        <v/>
      </c>
      <c r="L775" s="22"/>
    </row>
    <row r="776" spans="6:12">
      <c r="F776" s="22"/>
      <c r="J776" s="25" t="str">
        <f t="shared" si="22"/>
        <v/>
      </c>
      <c r="K776" s="25" t="str">
        <f t="shared" si="23"/>
        <v/>
      </c>
      <c r="L776" s="22"/>
    </row>
    <row r="777" spans="6:12">
      <c r="F777" s="22"/>
      <c r="J777" s="25" t="str">
        <f t="shared" si="22"/>
        <v/>
      </c>
      <c r="K777" s="25" t="str">
        <f t="shared" si="23"/>
        <v/>
      </c>
      <c r="L777" s="22"/>
    </row>
    <row r="778" spans="6:12">
      <c r="F778" s="22"/>
      <c r="J778" s="25" t="str">
        <f t="shared" si="22"/>
        <v/>
      </c>
      <c r="K778" s="25" t="str">
        <f t="shared" si="23"/>
        <v/>
      </c>
      <c r="L778" s="22"/>
    </row>
    <row r="779" spans="6:12">
      <c r="F779" s="22"/>
      <c r="J779" s="25" t="str">
        <f t="shared" si="22"/>
        <v/>
      </c>
      <c r="K779" s="25" t="str">
        <f t="shared" si="23"/>
        <v/>
      </c>
      <c r="L779" s="22"/>
    </row>
    <row r="780" spans="6:12">
      <c r="F780" s="22"/>
      <c r="J780" s="25" t="str">
        <f t="shared" si="22"/>
        <v/>
      </c>
      <c r="K780" s="25" t="str">
        <f t="shared" si="23"/>
        <v/>
      </c>
      <c r="L780" s="22"/>
    </row>
    <row r="781" spans="6:12">
      <c r="F781" s="22"/>
      <c r="J781" s="25" t="str">
        <f t="shared" ref="J781:J844" si="24">IF(D781&lt;&gt;"",D781,"")</f>
        <v/>
      </c>
      <c r="K781" s="25" t="str">
        <f t="shared" ref="K781:K844" si="25">IF(D781="Passed",E781,IF(D781="Warning",E781,""))</f>
        <v/>
      </c>
      <c r="L781" s="22"/>
    </row>
    <row r="782" spans="6:12">
      <c r="F782" s="22"/>
      <c r="J782" s="25" t="str">
        <f t="shared" si="24"/>
        <v/>
      </c>
      <c r="K782" s="25" t="str">
        <f t="shared" si="25"/>
        <v/>
      </c>
      <c r="L782" s="22"/>
    </row>
    <row r="783" spans="6:12">
      <c r="F783" s="22"/>
      <c r="J783" s="25" t="str">
        <f t="shared" si="24"/>
        <v/>
      </c>
      <c r="K783" s="25" t="str">
        <f t="shared" si="25"/>
        <v/>
      </c>
      <c r="L783" s="22"/>
    </row>
    <row r="784" spans="6:12">
      <c r="F784" s="22"/>
      <c r="J784" s="25" t="str">
        <f t="shared" si="24"/>
        <v/>
      </c>
      <c r="K784" s="25" t="str">
        <f t="shared" si="25"/>
        <v/>
      </c>
      <c r="L784" s="22"/>
    </row>
    <row r="785" spans="6:12">
      <c r="F785" s="22"/>
      <c r="J785" s="25" t="str">
        <f t="shared" si="24"/>
        <v/>
      </c>
      <c r="K785" s="25" t="str">
        <f t="shared" si="25"/>
        <v/>
      </c>
      <c r="L785" s="22"/>
    </row>
    <row r="786" spans="6:12">
      <c r="F786" s="22"/>
      <c r="J786" s="25" t="str">
        <f t="shared" si="24"/>
        <v/>
      </c>
      <c r="K786" s="25" t="str">
        <f t="shared" si="25"/>
        <v/>
      </c>
      <c r="L786" s="22"/>
    </row>
    <row r="787" spans="6:12">
      <c r="F787" s="22"/>
      <c r="J787" s="25" t="str">
        <f t="shared" si="24"/>
        <v/>
      </c>
      <c r="K787" s="25" t="str">
        <f t="shared" si="25"/>
        <v/>
      </c>
      <c r="L787" s="22"/>
    </row>
    <row r="788" spans="6:12">
      <c r="F788" s="22"/>
      <c r="J788" s="25" t="str">
        <f t="shared" si="24"/>
        <v/>
      </c>
      <c r="K788" s="25" t="str">
        <f t="shared" si="25"/>
        <v/>
      </c>
      <c r="L788" s="22"/>
    </row>
    <row r="789" spans="6:12">
      <c r="F789" s="22"/>
      <c r="J789" s="25" t="str">
        <f t="shared" si="24"/>
        <v/>
      </c>
      <c r="K789" s="25" t="str">
        <f t="shared" si="25"/>
        <v/>
      </c>
      <c r="L789" s="22"/>
    </row>
    <row r="790" spans="6:12">
      <c r="F790" s="22"/>
      <c r="J790" s="25" t="str">
        <f t="shared" si="24"/>
        <v/>
      </c>
      <c r="K790" s="25" t="str">
        <f t="shared" si="25"/>
        <v/>
      </c>
      <c r="L790" s="22"/>
    </row>
    <row r="791" spans="6:12">
      <c r="F791" s="22"/>
      <c r="J791" s="25" t="str">
        <f t="shared" si="24"/>
        <v/>
      </c>
      <c r="K791" s="25" t="str">
        <f t="shared" si="25"/>
        <v/>
      </c>
      <c r="L791" s="22"/>
    </row>
    <row r="792" spans="6:12">
      <c r="F792" s="22"/>
      <c r="J792" s="25" t="str">
        <f t="shared" si="24"/>
        <v/>
      </c>
      <c r="K792" s="25" t="str">
        <f t="shared" si="25"/>
        <v/>
      </c>
      <c r="L792" s="22"/>
    </row>
    <row r="793" spans="6:12">
      <c r="F793" s="22"/>
      <c r="J793" s="25" t="str">
        <f t="shared" si="24"/>
        <v/>
      </c>
      <c r="K793" s="25" t="str">
        <f t="shared" si="25"/>
        <v/>
      </c>
      <c r="L793" s="22"/>
    </row>
    <row r="794" spans="6:12">
      <c r="F794" s="22"/>
      <c r="J794" s="25" t="str">
        <f t="shared" si="24"/>
        <v/>
      </c>
      <c r="K794" s="25" t="str">
        <f t="shared" si="25"/>
        <v/>
      </c>
      <c r="L794" s="22"/>
    </row>
    <row r="795" spans="6:12">
      <c r="F795" s="22"/>
      <c r="J795" s="25" t="str">
        <f t="shared" si="24"/>
        <v/>
      </c>
      <c r="K795" s="25" t="str">
        <f t="shared" si="25"/>
        <v/>
      </c>
      <c r="L795" s="22"/>
    </row>
    <row r="796" spans="6:12">
      <c r="F796" s="22"/>
      <c r="J796" s="25" t="str">
        <f t="shared" si="24"/>
        <v/>
      </c>
      <c r="K796" s="25" t="str">
        <f t="shared" si="25"/>
        <v/>
      </c>
      <c r="L796" s="22"/>
    </row>
    <row r="797" spans="6:12">
      <c r="F797" s="22"/>
      <c r="J797" s="25" t="str">
        <f t="shared" si="24"/>
        <v/>
      </c>
      <c r="K797" s="25" t="str">
        <f t="shared" si="25"/>
        <v/>
      </c>
      <c r="L797" s="22"/>
    </row>
    <row r="798" spans="6:12">
      <c r="F798" s="22"/>
      <c r="J798" s="25" t="str">
        <f t="shared" si="24"/>
        <v/>
      </c>
      <c r="K798" s="25" t="str">
        <f t="shared" si="25"/>
        <v/>
      </c>
      <c r="L798" s="22"/>
    </row>
    <row r="799" spans="6:12">
      <c r="F799" s="22"/>
      <c r="J799" s="25" t="str">
        <f t="shared" si="24"/>
        <v/>
      </c>
      <c r="K799" s="25" t="str">
        <f t="shared" si="25"/>
        <v/>
      </c>
      <c r="L799" s="22"/>
    </row>
    <row r="800" spans="6:12">
      <c r="F800" s="22"/>
      <c r="J800" s="25" t="str">
        <f t="shared" si="24"/>
        <v/>
      </c>
      <c r="K800" s="25" t="str">
        <f t="shared" si="25"/>
        <v/>
      </c>
      <c r="L800" s="22"/>
    </row>
    <row r="801" spans="6:12">
      <c r="F801" s="22"/>
      <c r="J801" s="25" t="str">
        <f t="shared" si="24"/>
        <v/>
      </c>
      <c r="K801" s="25" t="str">
        <f t="shared" si="25"/>
        <v/>
      </c>
      <c r="L801" s="22"/>
    </row>
    <row r="802" spans="6:12">
      <c r="F802" s="22"/>
      <c r="J802" s="25" t="str">
        <f t="shared" si="24"/>
        <v/>
      </c>
      <c r="K802" s="25" t="str">
        <f t="shared" si="25"/>
        <v/>
      </c>
      <c r="L802" s="22"/>
    </row>
    <row r="803" spans="6:12">
      <c r="F803" s="22"/>
      <c r="J803" s="25" t="str">
        <f t="shared" si="24"/>
        <v/>
      </c>
      <c r="K803" s="25" t="str">
        <f t="shared" si="25"/>
        <v/>
      </c>
      <c r="L803" s="22"/>
    </row>
    <row r="804" spans="6:12">
      <c r="F804" s="22"/>
      <c r="J804" s="25" t="str">
        <f t="shared" si="24"/>
        <v/>
      </c>
      <c r="K804" s="25" t="str">
        <f t="shared" si="25"/>
        <v/>
      </c>
      <c r="L804" s="22"/>
    </row>
    <row r="805" spans="6:12">
      <c r="F805" s="22"/>
      <c r="J805" s="25" t="str">
        <f t="shared" si="24"/>
        <v/>
      </c>
      <c r="K805" s="25" t="str">
        <f t="shared" si="25"/>
        <v/>
      </c>
      <c r="L805" s="22"/>
    </row>
    <row r="806" spans="6:12">
      <c r="F806" s="22"/>
      <c r="J806" s="25" t="str">
        <f t="shared" si="24"/>
        <v/>
      </c>
      <c r="K806" s="25" t="str">
        <f t="shared" si="25"/>
        <v/>
      </c>
      <c r="L806" s="22"/>
    </row>
    <row r="807" spans="6:12">
      <c r="F807" s="22"/>
      <c r="J807" s="25" t="str">
        <f t="shared" si="24"/>
        <v/>
      </c>
      <c r="K807" s="25" t="str">
        <f t="shared" si="25"/>
        <v/>
      </c>
      <c r="L807" s="22"/>
    </row>
    <row r="808" spans="6:12">
      <c r="F808" s="22"/>
      <c r="J808" s="25" t="str">
        <f t="shared" si="24"/>
        <v/>
      </c>
      <c r="K808" s="25" t="str">
        <f t="shared" si="25"/>
        <v/>
      </c>
      <c r="L808" s="22"/>
    </row>
    <row r="809" spans="6:12">
      <c r="F809" s="22"/>
      <c r="J809" s="25" t="str">
        <f t="shared" si="24"/>
        <v/>
      </c>
      <c r="K809" s="25" t="str">
        <f t="shared" si="25"/>
        <v/>
      </c>
      <c r="L809" s="22"/>
    </row>
    <row r="810" spans="6:12">
      <c r="F810" s="22"/>
      <c r="J810" s="25" t="str">
        <f t="shared" si="24"/>
        <v/>
      </c>
      <c r="K810" s="25" t="str">
        <f t="shared" si="25"/>
        <v/>
      </c>
      <c r="L810" s="22"/>
    </row>
    <row r="811" spans="6:12">
      <c r="F811" s="22"/>
      <c r="J811" s="25" t="str">
        <f t="shared" si="24"/>
        <v/>
      </c>
      <c r="K811" s="25" t="str">
        <f t="shared" si="25"/>
        <v/>
      </c>
      <c r="L811" s="22"/>
    </row>
    <row r="812" spans="6:12">
      <c r="F812" s="22"/>
      <c r="J812" s="25" t="str">
        <f t="shared" si="24"/>
        <v/>
      </c>
      <c r="K812" s="25" t="str">
        <f t="shared" si="25"/>
        <v/>
      </c>
      <c r="L812" s="22"/>
    </row>
    <row r="813" spans="6:12">
      <c r="F813" s="22"/>
      <c r="J813" s="25" t="str">
        <f t="shared" si="24"/>
        <v/>
      </c>
      <c r="K813" s="25" t="str">
        <f t="shared" si="25"/>
        <v/>
      </c>
      <c r="L813" s="22"/>
    </row>
    <row r="814" spans="6:12">
      <c r="F814" s="22"/>
      <c r="J814" s="25" t="str">
        <f t="shared" si="24"/>
        <v/>
      </c>
      <c r="K814" s="25" t="str">
        <f t="shared" si="25"/>
        <v/>
      </c>
      <c r="L814" s="22"/>
    </row>
    <row r="815" spans="6:12">
      <c r="F815" s="22"/>
      <c r="J815" s="25" t="str">
        <f t="shared" si="24"/>
        <v/>
      </c>
      <c r="K815" s="25" t="str">
        <f t="shared" si="25"/>
        <v/>
      </c>
      <c r="L815" s="22"/>
    </row>
    <row r="816" spans="6:12">
      <c r="F816" s="22"/>
      <c r="J816" s="25" t="str">
        <f t="shared" si="24"/>
        <v/>
      </c>
      <c r="K816" s="25" t="str">
        <f t="shared" si="25"/>
        <v/>
      </c>
      <c r="L816" s="22"/>
    </row>
    <row r="817" spans="6:12">
      <c r="F817" s="22"/>
      <c r="J817" s="25" t="str">
        <f t="shared" si="24"/>
        <v/>
      </c>
      <c r="K817" s="25" t="str">
        <f t="shared" si="25"/>
        <v/>
      </c>
      <c r="L817" s="22"/>
    </row>
    <row r="818" spans="6:12">
      <c r="F818" s="22"/>
      <c r="J818" s="25" t="str">
        <f t="shared" si="24"/>
        <v/>
      </c>
      <c r="K818" s="25" t="str">
        <f t="shared" si="25"/>
        <v/>
      </c>
      <c r="L818" s="22"/>
    </row>
    <row r="819" spans="6:12">
      <c r="F819" s="22"/>
      <c r="J819" s="25" t="str">
        <f t="shared" si="24"/>
        <v/>
      </c>
      <c r="K819" s="25" t="str">
        <f t="shared" si="25"/>
        <v/>
      </c>
      <c r="L819" s="22"/>
    </row>
    <row r="820" spans="6:12">
      <c r="F820" s="22"/>
      <c r="J820" s="25" t="str">
        <f t="shared" si="24"/>
        <v/>
      </c>
      <c r="K820" s="25" t="str">
        <f t="shared" si="25"/>
        <v/>
      </c>
      <c r="L820" s="22"/>
    </row>
    <row r="821" spans="6:12">
      <c r="F821" s="22"/>
      <c r="J821" s="25" t="str">
        <f t="shared" si="24"/>
        <v/>
      </c>
      <c r="K821" s="25" t="str">
        <f t="shared" si="25"/>
        <v/>
      </c>
      <c r="L821" s="22"/>
    </row>
    <row r="822" spans="6:12">
      <c r="F822" s="22"/>
      <c r="J822" s="25" t="str">
        <f t="shared" si="24"/>
        <v/>
      </c>
      <c r="K822" s="25" t="str">
        <f t="shared" si="25"/>
        <v/>
      </c>
      <c r="L822" s="22"/>
    </row>
    <row r="823" spans="6:12">
      <c r="F823" s="22"/>
      <c r="J823" s="25" t="str">
        <f t="shared" si="24"/>
        <v/>
      </c>
      <c r="K823" s="25" t="str">
        <f t="shared" si="25"/>
        <v/>
      </c>
      <c r="L823" s="22"/>
    </row>
    <row r="824" spans="6:12">
      <c r="F824" s="22"/>
      <c r="J824" s="25" t="str">
        <f t="shared" si="24"/>
        <v/>
      </c>
      <c r="K824" s="25" t="str">
        <f t="shared" si="25"/>
        <v/>
      </c>
      <c r="L824" s="22"/>
    </row>
    <row r="825" spans="6:12">
      <c r="F825" s="22"/>
      <c r="J825" s="25" t="str">
        <f t="shared" si="24"/>
        <v/>
      </c>
      <c r="K825" s="25" t="str">
        <f t="shared" si="25"/>
        <v/>
      </c>
      <c r="L825" s="22"/>
    </row>
    <row r="826" spans="6:12">
      <c r="F826" s="22"/>
      <c r="J826" s="25" t="str">
        <f t="shared" si="24"/>
        <v/>
      </c>
      <c r="K826" s="25" t="str">
        <f t="shared" si="25"/>
        <v/>
      </c>
      <c r="L826" s="22"/>
    </row>
    <row r="827" spans="6:12">
      <c r="F827" s="22"/>
      <c r="J827" s="25" t="str">
        <f t="shared" si="24"/>
        <v/>
      </c>
      <c r="K827" s="25" t="str">
        <f t="shared" si="25"/>
        <v/>
      </c>
      <c r="L827" s="22"/>
    </row>
    <row r="828" spans="6:12">
      <c r="F828" s="22"/>
      <c r="J828" s="25" t="str">
        <f t="shared" si="24"/>
        <v/>
      </c>
      <c r="K828" s="25" t="str">
        <f t="shared" si="25"/>
        <v/>
      </c>
      <c r="L828" s="22"/>
    </row>
    <row r="829" spans="6:12">
      <c r="F829" s="22"/>
      <c r="J829" s="25" t="str">
        <f t="shared" si="24"/>
        <v/>
      </c>
      <c r="K829" s="25" t="str">
        <f t="shared" si="25"/>
        <v/>
      </c>
      <c r="L829" s="22"/>
    </row>
    <row r="830" spans="6:12">
      <c r="F830" s="22"/>
      <c r="J830" s="25" t="str">
        <f t="shared" si="24"/>
        <v/>
      </c>
      <c r="K830" s="25" t="str">
        <f t="shared" si="25"/>
        <v/>
      </c>
      <c r="L830" s="22"/>
    </row>
    <row r="831" spans="6:12">
      <c r="F831" s="22"/>
      <c r="J831" s="25" t="str">
        <f t="shared" si="24"/>
        <v/>
      </c>
      <c r="K831" s="25" t="str">
        <f t="shared" si="25"/>
        <v/>
      </c>
      <c r="L831" s="22"/>
    </row>
    <row r="832" spans="6:12">
      <c r="F832" s="22"/>
      <c r="J832" s="25" t="str">
        <f t="shared" si="24"/>
        <v/>
      </c>
      <c r="K832" s="25" t="str">
        <f t="shared" si="25"/>
        <v/>
      </c>
      <c r="L832" s="22"/>
    </row>
    <row r="833" spans="6:12">
      <c r="F833" s="22"/>
      <c r="J833" s="25" t="str">
        <f t="shared" si="24"/>
        <v/>
      </c>
      <c r="K833" s="25" t="str">
        <f t="shared" si="25"/>
        <v/>
      </c>
      <c r="L833" s="22"/>
    </row>
    <row r="834" spans="6:12">
      <c r="F834" s="22"/>
      <c r="J834" s="25" t="str">
        <f t="shared" si="24"/>
        <v/>
      </c>
      <c r="K834" s="25" t="str">
        <f t="shared" si="25"/>
        <v/>
      </c>
      <c r="L834" s="22"/>
    </row>
    <row r="835" spans="6:12">
      <c r="F835" s="22"/>
      <c r="J835" s="25" t="str">
        <f t="shared" si="24"/>
        <v/>
      </c>
      <c r="K835" s="25" t="str">
        <f t="shared" si="25"/>
        <v/>
      </c>
      <c r="L835" s="22"/>
    </row>
    <row r="836" spans="6:12">
      <c r="F836" s="22"/>
      <c r="J836" s="25" t="str">
        <f t="shared" si="24"/>
        <v/>
      </c>
      <c r="K836" s="25" t="str">
        <f t="shared" si="25"/>
        <v/>
      </c>
      <c r="L836" s="22"/>
    </row>
    <row r="837" spans="6:12">
      <c r="F837" s="22"/>
      <c r="J837" s="25" t="str">
        <f t="shared" si="24"/>
        <v/>
      </c>
      <c r="K837" s="25" t="str">
        <f t="shared" si="25"/>
        <v/>
      </c>
      <c r="L837" s="22"/>
    </row>
    <row r="838" spans="6:12">
      <c r="F838" s="22"/>
      <c r="J838" s="25" t="str">
        <f t="shared" si="24"/>
        <v/>
      </c>
      <c r="K838" s="25" t="str">
        <f t="shared" si="25"/>
        <v/>
      </c>
      <c r="L838" s="22"/>
    </row>
    <row r="839" spans="6:12">
      <c r="F839" s="22"/>
      <c r="J839" s="25" t="str">
        <f t="shared" si="24"/>
        <v/>
      </c>
      <c r="K839" s="25" t="str">
        <f t="shared" si="25"/>
        <v/>
      </c>
      <c r="L839" s="22"/>
    </row>
    <row r="840" spans="6:12">
      <c r="F840" s="22"/>
      <c r="J840" s="25" t="str">
        <f t="shared" si="24"/>
        <v/>
      </c>
      <c r="K840" s="25" t="str">
        <f t="shared" si="25"/>
        <v/>
      </c>
      <c r="L840" s="22"/>
    </row>
    <row r="841" spans="6:12">
      <c r="F841" s="22"/>
      <c r="J841" s="25" t="str">
        <f t="shared" si="24"/>
        <v/>
      </c>
      <c r="K841" s="25" t="str">
        <f t="shared" si="25"/>
        <v/>
      </c>
      <c r="L841" s="22"/>
    </row>
    <row r="842" spans="6:12">
      <c r="F842" s="22"/>
      <c r="J842" s="25" t="str">
        <f t="shared" si="24"/>
        <v/>
      </c>
      <c r="K842" s="25" t="str">
        <f t="shared" si="25"/>
        <v/>
      </c>
      <c r="L842" s="22"/>
    </row>
    <row r="843" spans="6:12">
      <c r="F843" s="22"/>
      <c r="J843" s="25" t="str">
        <f t="shared" si="24"/>
        <v/>
      </c>
      <c r="K843" s="25" t="str">
        <f t="shared" si="25"/>
        <v/>
      </c>
      <c r="L843" s="22"/>
    </row>
    <row r="844" spans="6:12">
      <c r="F844" s="22"/>
      <c r="J844" s="25" t="str">
        <f t="shared" si="24"/>
        <v/>
      </c>
      <c r="K844" s="25" t="str">
        <f t="shared" si="25"/>
        <v/>
      </c>
      <c r="L844" s="22"/>
    </row>
    <row r="845" spans="6:12">
      <c r="F845" s="22"/>
      <c r="J845" s="25" t="str">
        <f t="shared" ref="J845:J908" si="26">IF(D845&lt;&gt;"",D845,"")</f>
        <v/>
      </c>
      <c r="K845" s="25" t="str">
        <f t="shared" ref="K845:K908" si="27">IF(D845="Passed",E845,IF(D845="Warning",E845,""))</f>
        <v/>
      </c>
      <c r="L845" s="22"/>
    </row>
    <row r="846" spans="6:12">
      <c r="F846" s="22"/>
      <c r="J846" s="25" t="str">
        <f t="shared" si="26"/>
        <v/>
      </c>
      <c r="K846" s="25" t="str">
        <f t="shared" si="27"/>
        <v/>
      </c>
      <c r="L846" s="22"/>
    </row>
    <row r="847" spans="6:12">
      <c r="F847" s="22"/>
      <c r="J847" s="25" t="str">
        <f t="shared" si="26"/>
        <v/>
      </c>
      <c r="K847" s="25" t="str">
        <f t="shared" si="27"/>
        <v/>
      </c>
      <c r="L847" s="22"/>
    </row>
    <row r="848" spans="6:12">
      <c r="F848" s="22"/>
      <c r="J848" s="25" t="str">
        <f t="shared" si="26"/>
        <v/>
      </c>
      <c r="K848" s="25" t="str">
        <f t="shared" si="27"/>
        <v/>
      </c>
      <c r="L848" s="22"/>
    </row>
    <row r="849" spans="6:12">
      <c r="F849" s="22"/>
      <c r="J849" s="25" t="str">
        <f t="shared" si="26"/>
        <v/>
      </c>
      <c r="K849" s="25" t="str">
        <f t="shared" si="27"/>
        <v/>
      </c>
      <c r="L849" s="22"/>
    </row>
    <row r="850" spans="6:12">
      <c r="F850" s="22"/>
      <c r="J850" s="25" t="str">
        <f t="shared" si="26"/>
        <v/>
      </c>
      <c r="K850" s="25" t="str">
        <f t="shared" si="27"/>
        <v/>
      </c>
      <c r="L850" s="22"/>
    </row>
    <row r="851" spans="6:12">
      <c r="F851" s="22"/>
      <c r="J851" s="25" t="str">
        <f t="shared" si="26"/>
        <v/>
      </c>
      <c r="K851" s="25" t="str">
        <f t="shared" si="27"/>
        <v/>
      </c>
      <c r="L851" s="22"/>
    </row>
    <row r="852" spans="6:12">
      <c r="F852" s="22"/>
      <c r="J852" s="25" t="str">
        <f t="shared" si="26"/>
        <v/>
      </c>
      <c r="K852" s="25" t="str">
        <f t="shared" si="27"/>
        <v/>
      </c>
      <c r="L852" s="22"/>
    </row>
    <row r="853" spans="6:12">
      <c r="F853" s="22"/>
      <c r="J853" s="25" t="str">
        <f t="shared" si="26"/>
        <v/>
      </c>
      <c r="K853" s="25" t="str">
        <f t="shared" si="27"/>
        <v/>
      </c>
      <c r="L853" s="22"/>
    </row>
    <row r="854" spans="6:12">
      <c r="F854" s="22"/>
      <c r="J854" s="25" t="str">
        <f t="shared" si="26"/>
        <v/>
      </c>
      <c r="K854" s="25" t="str">
        <f t="shared" si="27"/>
        <v/>
      </c>
      <c r="L854" s="22"/>
    </row>
    <row r="855" spans="6:12">
      <c r="F855" s="22"/>
      <c r="J855" s="25" t="str">
        <f t="shared" si="26"/>
        <v/>
      </c>
      <c r="K855" s="25" t="str">
        <f t="shared" si="27"/>
        <v/>
      </c>
      <c r="L855" s="22"/>
    </row>
    <row r="856" spans="6:12">
      <c r="F856" s="22"/>
      <c r="J856" s="25" t="str">
        <f t="shared" si="26"/>
        <v/>
      </c>
      <c r="K856" s="25" t="str">
        <f t="shared" si="27"/>
        <v/>
      </c>
      <c r="L856" s="22"/>
    </row>
    <row r="857" spans="6:12">
      <c r="F857" s="22"/>
      <c r="J857" s="25" t="str">
        <f t="shared" si="26"/>
        <v/>
      </c>
      <c r="K857" s="25" t="str">
        <f t="shared" si="27"/>
        <v/>
      </c>
      <c r="L857" s="22"/>
    </row>
    <row r="858" spans="6:12">
      <c r="F858" s="22"/>
      <c r="J858" s="25" t="str">
        <f t="shared" si="26"/>
        <v/>
      </c>
      <c r="K858" s="25" t="str">
        <f t="shared" si="27"/>
        <v/>
      </c>
      <c r="L858" s="22"/>
    </row>
    <row r="859" spans="6:12">
      <c r="F859" s="22"/>
      <c r="J859" s="25" t="str">
        <f t="shared" si="26"/>
        <v/>
      </c>
      <c r="K859" s="25" t="str">
        <f t="shared" si="27"/>
        <v/>
      </c>
      <c r="L859" s="22"/>
    </row>
    <row r="860" spans="6:12">
      <c r="F860" s="22"/>
      <c r="J860" s="25" t="str">
        <f t="shared" si="26"/>
        <v/>
      </c>
      <c r="K860" s="25" t="str">
        <f t="shared" si="27"/>
        <v/>
      </c>
      <c r="L860" s="22"/>
    </row>
    <row r="861" spans="6:12">
      <c r="F861" s="22"/>
      <c r="J861" s="25" t="str">
        <f t="shared" si="26"/>
        <v/>
      </c>
      <c r="K861" s="25" t="str">
        <f t="shared" si="27"/>
        <v/>
      </c>
      <c r="L861" s="22"/>
    </row>
    <row r="862" spans="6:12">
      <c r="F862" s="22"/>
      <c r="J862" s="25" t="str">
        <f t="shared" si="26"/>
        <v/>
      </c>
      <c r="K862" s="25" t="str">
        <f t="shared" si="27"/>
        <v/>
      </c>
      <c r="L862" s="22"/>
    </row>
    <row r="863" spans="6:12">
      <c r="F863" s="22"/>
      <c r="J863" s="25" t="str">
        <f t="shared" si="26"/>
        <v/>
      </c>
      <c r="K863" s="25" t="str">
        <f t="shared" si="27"/>
        <v/>
      </c>
      <c r="L863" s="22"/>
    </row>
    <row r="864" spans="6:12">
      <c r="F864" s="22"/>
      <c r="J864" s="25" t="str">
        <f t="shared" si="26"/>
        <v/>
      </c>
      <c r="K864" s="25" t="str">
        <f t="shared" si="27"/>
        <v/>
      </c>
      <c r="L864" s="22"/>
    </row>
    <row r="865" spans="6:12">
      <c r="F865" s="22"/>
      <c r="J865" s="25" t="str">
        <f t="shared" si="26"/>
        <v/>
      </c>
      <c r="K865" s="25" t="str">
        <f t="shared" si="27"/>
        <v/>
      </c>
      <c r="L865" s="22"/>
    </row>
    <row r="866" spans="6:12">
      <c r="F866" s="22"/>
      <c r="J866" s="25" t="str">
        <f t="shared" si="26"/>
        <v/>
      </c>
      <c r="K866" s="25" t="str">
        <f t="shared" si="27"/>
        <v/>
      </c>
      <c r="L866" s="22"/>
    </row>
    <row r="867" spans="6:12">
      <c r="F867" s="22"/>
      <c r="J867" s="25" t="str">
        <f t="shared" si="26"/>
        <v/>
      </c>
      <c r="K867" s="25" t="str">
        <f t="shared" si="27"/>
        <v/>
      </c>
      <c r="L867" s="22"/>
    </row>
    <row r="868" spans="6:12">
      <c r="F868" s="22"/>
      <c r="J868" s="25" t="str">
        <f t="shared" si="26"/>
        <v/>
      </c>
      <c r="K868" s="25" t="str">
        <f t="shared" si="27"/>
        <v/>
      </c>
      <c r="L868" s="22"/>
    </row>
    <row r="869" spans="6:12">
      <c r="F869" s="22"/>
      <c r="J869" s="25" t="str">
        <f t="shared" si="26"/>
        <v/>
      </c>
      <c r="K869" s="25" t="str">
        <f t="shared" si="27"/>
        <v/>
      </c>
      <c r="L869" s="22"/>
    </row>
    <row r="870" spans="6:12">
      <c r="F870" s="22"/>
      <c r="J870" s="25" t="str">
        <f t="shared" si="26"/>
        <v/>
      </c>
      <c r="K870" s="25" t="str">
        <f t="shared" si="27"/>
        <v/>
      </c>
      <c r="L870" s="22"/>
    </row>
    <row r="871" spans="6:12">
      <c r="F871" s="22"/>
      <c r="J871" s="25" t="str">
        <f t="shared" si="26"/>
        <v/>
      </c>
      <c r="K871" s="25" t="str">
        <f t="shared" si="27"/>
        <v/>
      </c>
      <c r="L871" s="22"/>
    </row>
    <row r="872" spans="6:12">
      <c r="F872" s="22"/>
      <c r="J872" s="25" t="str">
        <f t="shared" si="26"/>
        <v/>
      </c>
      <c r="K872" s="25" t="str">
        <f t="shared" si="27"/>
        <v/>
      </c>
      <c r="L872" s="22"/>
    </row>
    <row r="873" spans="6:12">
      <c r="F873" s="22"/>
      <c r="J873" s="25" t="str">
        <f t="shared" si="26"/>
        <v/>
      </c>
      <c r="K873" s="25" t="str">
        <f t="shared" si="27"/>
        <v/>
      </c>
      <c r="L873" s="22"/>
    </row>
    <row r="874" spans="6:12">
      <c r="F874" s="22"/>
      <c r="J874" s="25" t="str">
        <f t="shared" si="26"/>
        <v/>
      </c>
      <c r="K874" s="25" t="str">
        <f t="shared" si="27"/>
        <v/>
      </c>
      <c r="L874" s="22"/>
    </row>
    <row r="875" spans="6:12">
      <c r="F875" s="22"/>
      <c r="J875" s="25" t="str">
        <f t="shared" si="26"/>
        <v/>
      </c>
      <c r="K875" s="25" t="str">
        <f t="shared" si="27"/>
        <v/>
      </c>
      <c r="L875" s="22"/>
    </row>
    <row r="876" spans="6:12">
      <c r="F876" s="22"/>
      <c r="J876" s="25" t="str">
        <f t="shared" si="26"/>
        <v/>
      </c>
      <c r="K876" s="25" t="str">
        <f t="shared" si="27"/>
        <v/>
      </c>
      <c r="L876" s="22"/>
    </row>
    <row r="877" spans="6:12">
      <c r="F877" s="22"/>
      <c r="J877" s="25" t="str">
        <f t="shared" si="26"/>
        <v/>
      </c>
      <c r="K877" s="25" t="str">
        <f t="shared" si="27"/>
        <v/>
      </c>
      <c r="L877" s="22"/>
    </row>
    <row r="878" spans="6:12">
      <c r="F878" s="22"/>
      <c r="J878" s="25" t="str">
        <f t="shared" si="26"/>
        <v/>
      </c>
      <c r="K878" s="25" t="str">
        <f t="shared" si="27"/>
        <v/>
      </c>
      <c r="L878" s="22"/>
    </row>
    <row r="879" spans="6:12">
      <c r="F879" s="22"/>
      <c r="J879" s="25" t="str">
        <f t="shared" si="26"/>
        <v/>
      </c>
      <c r="K879" s="25" t="str">
        <f t="shared" si="27"/>
        <v/>
      </c>
      <c r="L879" s="22"/>
    </row>
    <row r="880" spans="6:12">
      <c r="F880" s="22"/>
      <c r="J880" s="25" t="str">
        <f t="shared" si="26"/>
        <v/>
      </c>
      <c r="K880" s="25" t="str">
        <f t="shared" si="27"/>
        <v/>
      </c>
      <c r="L880" s="22"/>
    </row>
    <row r="881" spans="6:12">
      <c r="F881" s="22"/>
      <c r="J881" s="25" t="str">
        <f t="shared" si="26"/>
        <v/>
      </c>
      <c r="K881" s="25" t="str">
        <f t="shared" si="27"/>
        <v/>
      </c>
      <c r="L881" s="22"/>
    </row>
    <row r="882" spans="6:12">
      <c r="F882" s="22"/>
      <c r="J882" s="25" t="str">
        <f t="shared" si="26"/>
        <v/>
      </c>
      <c r="K882" s="25" t="str">
        <f t="shared" si="27"/>
        <v/>
      </c>
      <c r="L882" s="22"/>
    </row>
    <row r="883" spans="6:12">
      <c r="F883" s="22"/>
      <c r="J883" s="25" t="str">
        <f t="shared" si="26"/>
        <v/>
      </c>
      <c r="K883" s="25" t="str">
        <f t="shared" si="27"/>
        <v/>
      </c>
      <c r="L883" s="22"/>
    </row>
    <row r="884" spans="6:12">
      <c r="F884" s="22"/>
      <c r="J884" s="25" t="str">
        <f t="shared" si="26"/>
        <v/>
      </c>
      <c r="K884" s="25" t="str">
        <f t="shared" si="27"/>
        <v/>
      </c>
      <c r="L884" s="22"/>
    </row>
    <row r="885" spans="6:12">
      <c r="F885" s="22"/>
      <c r="J885" s="25" t="str">
        <f t="shared" si="26"/>
        <v/>
      </c>
      <c r="K885" s="25" t="str">
        <f t="shared" si="27"/>
        <v/>
      </c>
      <c r="L885" s="22"/>
    </row>
    <row r="886" spans="6:12">
      <c r="F886" s="22"/>
      <c r="J886" s="25" t="str">
        <f t="shared" si="26"/>
        <v/>
      </c>
      <c r="K886" s="25" t="str">
        <f t="shared" si="27"/>
        <v/>
      </c>
      <c r="L886" s="22"/>
    </row>
    <row r="887" spans="6:12">
      <c r="F887" s="22"/>
      <c r="J887" s="25" t="str">
        <f t="shared" si="26"/>
        <v/>
      </c>
      <c r="K887" s="25" t="str">
        <f t="shared" si="27"/>
        <v/>
      </c>
      <c r="L887" s="22"/>
    </row>
    <row r="888" spans="6:12">
      <c r="F888" s="22"/>
      <c r="J888" s="25" t="str">
        <f t="shared" si="26"/>
        <v/>
      </c>
      <c r="K888" s="25" t="str">
        <f t="shared" si="27"/>
        <v/>
      </c>
      <c r="L888" s="22"/>
    </row>
    <row r="889" spans="6:12">
      <c r="F889" s="22"/>
      <c r="J889" s="25" t="str">
        <f t="shared" si="26"/>
        <v/>
      </c>
      <c r="K889" s="25" t="str">
        <f t="shared" si="27"/>
        <v/>
      </c>
      <c r="L889" s="22"/>
    </row>
    <row r="890" spans="6:12">
      <c r="F890" s="22"/>
      <c r="J890" s="25" t="str">
        <f t="shared" si="26"/>
        <v/>
      </c>
      <c r="K890" s="25" t="str">
        <f t="shared" si="27"/>
        <v/>
      </c>
      <c r="L890" s="22"/>
    </row>
    <row r="891" spans="6:12">
      <c r="F891" s="22"/>
      <c r="J891" s="25" t="str">
        <f t="shared" si="26"/>
        <v/>
      </c>
      <c r="K891" s="25" t="str">
        <f t="shared" si="27"/>
        <v/>
      </c>
      <c r="L891" s="22"/>
    </row>
    <row r="892" spans="6:12">
      <c r="F892" s="22"/>
      <c r="J892" s="25" t="str">
        <f t="shared" si="26"/>
        <v/>
      </c>
      <c r="K892" s="25" t="str">
        <f t="shared" si="27"/>
        <v/>
      </c>
      <c r="L892" s="22"/>
    </row>
    <row r="893" spans="6:12">
      <c r="F893" s="22"/>
      <c r="J893" s="25" t="str">
        <f t="shared" si="26"/>
        <v/>
      </c>
      <c r="K893" s="25" t="str">
        <f t="shared" si="27"/>
        <v/>
      </c>
      <c r="L893" s="22"/>
    </row>
    <row r="894" spans="6:12">
      <c r="F894" s="22"/>
      <c r="J894" s="25" t="str">
        <f t="shared" si="26"/>
        <v/>
      </c>
      <c r="K894" s="25" t="str">
        <f t="shared" si="27"/>
        <v/>
      </c>
      <c r="L894" s="22"/>
    </row>
    <row r="895" spans="6:12">
      <c r="F895" s="22"/>
      <c r="J895" s="25" t="str">
        <f t="shared" si="26"/>
        <v/>
      </c>
      <c r="K895" s="25" t="str">
        <f t="shared" si="27"/>
        <v/>
      </c>
      <c r="L895" s="22"/>
    </row>
    <row r="896" spans="6:12">
      <c r="F896" s="22"/>
      <c r="J896" s="25" t="str">
        <f t="shared" si="26"/>
        <v/>
      </c>
      <c r="K896" s="25" t="str">
        <f t="shared" si="27"/>
        <v/>
      </c>
      <c r="L896" s="22"/>
    </row>
    <row r="897" spans="6:12">
      <c r="F897" s="22"/>
      <c r="J897" s="25" t="str">
        <f t="shared" si="26"/>
        <v/>
      </c>
      <c r="K897" s="25" t="str">
        <f t="shared" si="27"/>
        <v/>
      </c>
      <c r="L897" s="22"/>
    </row>
    <row r="898" spans="6:12">
      <c r="F898" s="22"/>
      <c r="J898" s="25" t="str">
        <f t="shared" si="26"/>
        <v/>
      </c>
      <c r="K898" s="25" t="str">
        <f t="shared" si="27"/>
        <v/>
      </c>
      <c r="L898" s="22"/>
    </row>
    <row r="899" spans="6:12">
      <c r="F899" s="22"/>
      <c r="J899" s="25" t="str">
        <f t="shared" si="26"/>
        <v/>
      </c>
      <c r="K899" s="25" t="str">
        <f t="shared" si="27"/>
        <v/>
      </c>
      <c r="L899" s="22"/>
    </row>
    <row r="900" spans="6:12">
      <c r="F900" s="22"/>
      <c r="J900" s="25" t="str">
        <f t="shared" si="26"/>
        <v/>
      </c>
      <c r="K900" s="25" t="str">
        <f t="shared" si="27"/>
        <v/>
      </c>
      <c r="L900" s="22"/>
    </row>
    <row r="901" spans="6:12">
      <c r="F901" s="22"/>
      <c r="J901" s="25" t="str">
        <f t="shared" si="26"/>
        <v/>
      </c>
      <c r="K901" s="25" t="str">
        <f t="shared" si="27"/>
        <v/>
      </c>
      <c r="L901" s="22"/>
    </row>
    <row r="902" spans="6:12">
      <c r="F902" s="22"/>
      <c r="J902" s="25" t="str">
        <f t="shared" si="26"/>
        <v/>
      </c>
      <c r="K902" s="25" t="str">
        <f t="shared" si="27"/>
        <v/>
      </c>
      <c r="L902" s="22"/>
    </row>
    <row r="903" spans="6:12">
      <c r="F903" s="22"/>
      <c r="J903" s="25" t="str">
        <f t="shared" si="26"/>
        <v/>
      </c>
      <c r="K903" s="25" t="str">
        <f t="shared" si="27"/>
        <v/>
      </c>
      <c r="L903" s="22"/>
    </row>
    <row r="904" spans="6:12">
      <c r="F904" s="22"/>
      <c r="J904" s="25" t="str">
        <f t="shared" si="26"/>
        <v/>
      </c>
      <c r="K904" s="25" t="str">
        <f t="shared" si="27"/>
        <v/>
      </c>
      <c r="L904" s="22"/>
    </row>
    <row r="905" spans="6:12">
      <c r="F905" s="22"/>
      <c r="J905" s="25" t="str">
        <f t="shared" si="26"/>
        <v/>
      </c>
      <c r="K905" s="25" t="str">
        <f t="shared" si="27"/>
        <v/>
      </c>
      <c r="L905" s="22"/>
    </row>
    <row r="906" spans="6:12">
      <c r="F906" s="22"/>
      <c r="J906" s="25" t="str">
        <f t="shared" si="26"/>
        <v/>
      </c>
      <c r="K906" s="25" t="str">
        <f t="shared" si="27"/>
        <v/>
      </c>
      <c r="L906" s="22"/>
    </row>
    <row r="907" spans="6:12">
      <c r="F907" s="22"/>
      <c r="J907" s="25" t="str">
        <f t="shared" si="26"/>
        <v/>
      </c>
      <c r="K907" s="25" t="str">
        <f t="shared" si="27"/>
        <v/>
      </c>
      <c r="L907" s="22"/>
    </row>
    <row r="908" spans="6:12">
      <c r="F908" s="22"/>
      <c r="J908" s="25" t="str">
        <f t="shared" si="26"/>
        <v/>
      </c>
      <c r="K908" s="25" t="str">
        <f t="shared" si="27"/>
        <v/>
      </c>
      <c r="L908" s="22"/>
    </row>
    <row r="909" spans="6:12">
      <c r="F909" s="22"/>
      <c r="J909" s="25" t="str">
        <f t="shared" ref="J909:J972" si="28">IF(D909&lt;&gt;"",D909,"")</f>
        <v/>
      </c>
      <c r="K909" s="25" t="str">
        <f t="shared" ref="K909:K972" si="29">IF(D909="Passed",E909,IF(D909="Warning",E909,""))</f>
        <v/>
      </c>
      <c r="L909" s="22"/>
    </row>
    <row r="910" spans="6:12">
      <c r="F910" s="22"/>
      <c r="J910" s="25" t="str">
        <f t="shared" si="28"/>
        <v/>
      </c>
      <c r="K910" s="25" t="str">
        <f t="shared" si="29"/>
        <v/>
      </c>
      <c r="L910" s="22"/>
    </row>
    <row r="911" spans="6:12">
      <c r="F911" s="22"/>
      <c r="J911" s="25" t="str">
        <f t="shared" si="28"/>
        <v/>
      </c>
      <c r="K911" s="25" t="str">
        <f t="shared" si="29"/>
        <v/>
      </c>
      <c r="L911" s="22"/>
    </row>
    <row r="912" spans="6:12">
      <c r="F912" s="22"/>
      <c r="J912" s="25" t="str">
        <f t="shared" si="28"/>
        <v/>
      </c>
      <c r="K912" s="25" t="str">
        <f t="shared" si="29"/>
        <v/>
      </c>
      <c r="L912" s="22"/>
    </row>
    <row r="913" spans="6:12">
      <c r="F913" s="22"/>
      <c r="J913" s="25" t="str">
        <f t="shared" si="28"/>
        <v/>
      </c>
      <c r="K913" s="25" t="str">
        <f t="shared" si="29"/>
        <v/>
      </c>
      <c r="L913" s="22"/>
    </row>
    <row r="914" spans="6:12">
      <c r="F914" s="22"/>
      <c r="J914" s="25" t="str">
        <f t="shared" si="28"/>
        <v/>
      </c>
      <c r="K914" s="25" t="str">
        <f t="shared" si="29"/>
        <v/>
      </c>
      <c r="L914" s="22"/>
    </row>
    <row r="915" spans="6:12">
      <c r="F915" s="22"/>
      <c r="J915" s="25" t="str">
        <f t="shared" si="28"/>
        <v/>
      </c>
      <c r="K915" s="25" t="str">
        <f t="shared" si="29"/>
        <v/>
      </c>
      <c r="L915" s="22"/>
    </row>
    <row r="916" spans="6:12">
      <c r="F916" s="22"/>
      <c r="J916" s="25" t="str">
        <f t="shared" si="28"/>
        <v/>
      </c>
      <c r="K916" s="25" t="str">
        <f t="shared" si="29"/>
        <v/>
      </c>
      <c r="L916" s="22"/>
    </row>
    <row r="917" spans="6:12">
      <c r="F917" s="22"/>
      <c r="J917" s="25" t="str">
        <f t="shared" si="28"/>
        <v/>
      </c>
      <c r="K917" s="25" t="str">
        <f t="shared" si="29"/>
        <v/>
      </c>
      <c r="L917" s="22"/>
    </row>
    <row r="918" spans="6:12">
      <c r="F918" s="22"/>
      <c r="J918" s="25" t="str">
        <f t="shared" si="28"/>
        <v/>
      </c>
      <c r="K918" s="25" t="str">
        <f t="shared" si="29"/>
        <v/>
      </c>
      <c r="L918" s="22"/>
    </row>
    <row r="919" spans="6:12">
      <c r="F919" s="22"/>
      <c r="J919" s="25" t="str">
        <f t="shared" si="28"/>
        <v/>
      </c>
      <c r="K919" s="25" t="str">
        <f t="shared" si="29"/>
        <v/>
      </c>
      <c r="L919" s="22"/>
    </row>
    <row r="920" spans="6:12">
      <c r="F920" s="22"/>
      <c r="J920" s="25" t="str">
        <f t="shared" si="28"/>
        <v/>
      </c>
      <c r="K920" s="25" t="str">
        <f t="shared" si="29"/>
        <v/>
      </c>
      <c r="L920" s="22"/>
    </row>
    <row r="921" spans="6:12">
      <c r="F921" s="22"/>
      <c r="J921" s="25" t="str">
        <f t="shared" si="28"/>
        <v/>
      </c>
      <c r="K921" s="25" t="str">
        <f t="shared" si="29"/>
        <v/>
      </c>
      <c r="L921" s="22"/>
    </row>
    <row r="922" spans="6:12">
      <c r="F922" s="22"/>
      <c r="J922" s="25" t="str">
        <f t="shared" si="28"/>
        <v/>
      </c>
      <c r="K922" s="25" t="str">
        <f t="shared" si="29"/>
        <v/>
      </c>
      <c r="L922" s="22"/>
    </row>
    <row r="923" spans="6:12">
      <c r="F923" s="22"/>
      <c r="J923" s="25" t="str">
        <f t="shared" si="28"/>
        <v/>
      </c>
      <c r="K923" s="25" t="str">
        <f t="shared" si="29"/>
        <v/>
      </c>
      <c r="L923" s="22"/>
    </row>
    <row r="924" spans="6:12">
      <c r="F924" s="22"/>
      <c r="J924" s="25" t="str">
        <f t="shared" si="28"/>
        <v/>
      </c>
      <c r="K924" s="25" t="str">
        <f t="shared" si="29"/>
        <v/>
      </c>
      <c r="L924" s="22"/>
    </row>
    <row r="925" spans="6:12">
      <c r="F925" s="22"/>
      <c r="J925" s="25" t="str">
        <f t="shared" si="28"/>
        <v/>
      </c>
      <c r="K925" s="25" t="str">
        <f t="shared" si="29"/>
        <v/>
      </c>
      <c r="L925" s="22"/>
    </row>
    <row r="926" spans="6:12">
      <c r="F926" s="22"/>
      <c r="J926" s="25" t="str">
        <f t="shared" si="28"/>
        <v/>
      </c>
      <c r="K926" s="25" t="str">
        <f t="shared" si="29"/>
        <v/>
      </c>
      <c r="L926" s="22"/>
    </row>
    <row r="927" spans="6:12">
      <c r="F927" s="22"/>
      <c r="J927" s="25" t="str">
        <f t="shared" si="28"/>
        <v/>
      </c>
      <c r="K927" s="25" t="str">
        <f t="shared" si="29"/>
        <v/>
      </c>
      <c r="L927" s="22"/>
    </row>
    <row r="928" spans="6:12">
      <c r="F928" s="22"/>
      <c r="J928" s="25" t="str">
        <f t="shared" si="28"/>
        <v/>
      </c>
      <c r="K928" s="25" t="str">
        <f t="shared" si="29"/>
        <v/>
      </c>
      <c r="L928" s="22"/>
    </row>
    <row r="929" spans="6:12">
      <c r="F929" s="22"/>
      <c r="J929" s="25" t="str">
        <f t="shared" si="28"/>
        <v/>
      </c>
      <c r="K929" s="25" t="str">
        <f t="shared" si="29"/>
        <v/>
      </c>
      <c r="L929" s="22"/>
    </row>
    <row r="930" spans="6:12">
      <c r="F930" s="22"/>
      <c r="J930" s="25" t="str">
        <f t="shared" si="28"/>
        <v/>
      </c>
      <c r="K930" s="25" t="str">
        <f t="shared" si="29"/>
        <v/>
      </c>
      <c r="L930" s="22"/>
    </row>
    <row r="931" spans="6:12">
      <c r="F931" s="22"/>
      <c r="J931" s="25" t="str">
        <f t="shared" si="28"/>
        <v/>
      </c>
      <c r="K931" s="25" t="str">
        <f t="shared" si="29"/>
        <v/>
      </c>
      <c r="L931" s="22"/>
    </row>
    <row r="932" spans="6:12">
      <c r="F932" s="22"/>
      <c r="J932" s="25" t="str">
        <f t="shared" si="28"/>
        <v/>
      </c>
      <c r="K932" s="25" t="str">
        <f t="shared" si="29"/>
        <v/>
      </c>
      <c r="L932" s="22"/>
    </row>
    <row r="933" spans="6:12">
      <c r="F933" s="22"/>
      <c r="J933" s="25" t="str">
        <f t="shared" si="28"/>
        <v/>
      </c>
      <c r="K933" s="25" t="str">
        <f t="shared" si="29"/>
        <v/>
      </c>
      <c r="L933" s="22"/>
    </row>
    <row r="934" spans="6:12">
      <c r="F934" s="22"/>
      <c r="J934" s="25" t="str">
        <f t="shared" si="28"/>
        <v/>
      </c>
      <c r="K934" s="25" t="str">
        <f t="shared" si="29"/>
        <v/>
      </c>
      <c r="L934" s="22"/>
    </row>
    <row r="935" spans="6:12">
      <c r="F935" s="22"/>
      <c r="J935" s="25" t="str">
        <f t="shared" si="28"/>
        <v/>
      </c>
      <c r="K935" s="25" t="str">
        <f t="shared" si="29"/>
        <v/>
      </c>
      <c r="L935" s="22"/>
    </row>
    <row r="936" spans="6:12">
      <c r="F936" s="22"/>
      <c r="J936" s="25" t="str">
        <f t="shared" si="28"/>
        <v/>
      </c>
      <c r="K936" s="25" t="str">
        <f t="shared" si="29"/>
        <v/>
      </c>
      <c r="L936" s="22"/>
    </row>
    <row r="937" spans="6:12">
      <c r="F937" s="22"/>
      <c r="J937" s="25" t="str">
        <f t="shared" si="28"/>
        <v/>
      </c>
      <c r="K937" s="25" t="str">
        <f t="shared" si="29"/>
        <v/>
      </c>
      <c r="L937" s="22"/>
    </row>
    <row r="938" spans="6:12">
      <c r="F938" s="22"/>
      <c r="J938" s="25" t="str">
        <f t="shared" si="28"/>
        <v/>
      </c>
      <c r="K938" s="25" t="str">
        <f t="shared" si="29"/>
        <v/>
      </c>
      <c r="L938" s="22"/>
    </row>
    <row r="939" spans="6:12">
      <c r="F939" s="22"/>
      <c r="J939" s="25" t="str">
        <f t="shared" si="28"/>
        <v/>
      </c>
      <c r="K939" s="25" t="str">
        <f t="shared" si="29"/>
        <v/>
      </c>
      <c r="L939" s="22"/>
    </row>
    <row r="940" spans="6:12">
      <c r="F940" s="22"/>
      <c r="J940" s="25" t="str">
        <f t="shared" si="28"/>
        <v/>
      </c>
      <c r="K940" s="25" t="str">
        <f t="shared" si="29"/>
        <v/>
      </c>
      <c r="L940" s="22"/>
    </row>
    <row r="941" spans="6:12">
      <c r="F941" s="22"/>
      <c r="J941" s="25" t="str">
        <f t="shared" si="28"/>
        <v/>
      </c>
      <c r="K941" s="25" t="str">
        <f t="shared" si="29"/>
        <v/>
      </c>
      <c r="L941" s="22"/>
    </row>
    <row r="942" spans="6:12">
      <c r="F942" s="22"/>
      <c r="J942" s="25" t="str">
        <f t="shared" si="28"/>
        <v/>
      </c>
      <c r="K942" s="25" t="str">
        <f t="shared" si="29"/>
        <v/>
      </c>
      <c r="L942" s="22"/>
    </row>
    <row r="943" spans="6:12">
      <c r="F943" s="22"/>
      <c r="J943" s="25" t="str">
        <f t="shared" si="28"/>
        <v/>
      </c>
      <c r="K943" s="25" t="str">
        <f t="shared" si="29"/>
        <v/>
      </c>
      <c r="L943" s="22"/>
    </row>
    <row r="944" spans="6:12">
      <c r="F944" s="22"/>
      <c r="J944" s="25" t="str">
        <f t="shared" si="28"/>
        <v/>
      </c>
      <c r="K944" s="25" t="str">
        <f t="shared" si="29"/>
        <v/>
      </c>
      <c r="L944" s="22"/>
    </row>
    <row r="945" spans="6:12">
      <c r="F945" s="22"/>
      <c r="J945" s="25" t="str">
        <f t="shared" si="28"/>
        <v/>
      </c>
      <c r="K945" s="25" t="str">
        <f t="shared" si="29"/>
        <v/>
      </c>
      <c r="L945" s="22"/>
    </row>
    <row r="946" spans="6:12">
      <c r="F946" s="22"/>
      <c r="J946" s="25" t="str">
        <f t="shared" si="28"/>
        <v/>
      </c>
      <c r="K946" s="25" t="str">
        <f t="shared" si="29"/>
        <v/>
      </c>
      <c r="L946" s="22"/>
    </row>
    <row r="947" spans="6:12">
      <c r="F947" s="22"/>
      <c r="J947" s="25" t="str">
        <f t="shared" si="28"/>
        <v/>
      </c>
      <c r="K947" s="25" t="str">
        <f t="shared" si="29"/>
        <v/>
      </c>
      <c r="L947" s="22"/>
    </row>
    <row r="948" spans="6:12">
      <c r="F948" s="22"/>
      <c r="J948" s="25" t="str">
        <f t="shared" si="28"/>
        <v/>
      </c>
      <c r="K948" s="25" t="str">
        <f t="shared" si="29"/>
        <v/>
      </c>
      <c r="L948" s="22"/>
    </row>
    <row r="949" spans="6:12">
      <c r="F949" s="22"/>
      <c r="J949" s="25" t="str">
        <f t="shared" si="28"/>
        <v/>
      </c>
      <c r="K949" s="25" t="str">
        <f t="shared" si="29"/>
        <v/>
      </c>
      <c r="L949" s="22"/>
    </row>
    <row r="950" spans="6:12">
      <c r="F950" s="22"/>
      <c r="J950" s="25" t="str">
        <f t="shared" si="28"/>
        <v/>
      </c>
      <c r="K950" s="25" t="str">
        <f t="shared" si="29"/>
        <v/>
      </c>
      <c r="L950" s="22"/>
    </row>
    <row r="951" spans="6:12">
      <c r="F951" s="22"/>
      <c r="J951" s="25" t="str">
        <f t="shared" si="28"/>
        <v/>
      </c>
      <c r="K951" s="25" t="str">
        <f t="shared" si="29"/>
        <v/>
      </c>
      <c r="L951" s="22"/>
    </row>
    <row r="952" spans="6:12">
      <c r="F952" s="22"/>
      <c r="J952" s="25" t="str">
        <f t="shared" si="28"/>
        <v/>
      </c>
      <c r="K952" s="25" t="str">
        <f t="shared" si="29"/>
        <v/>
      </c>
      <c r="L952" s="22"/>
    </row>
    <row r="953" spans="6:12">
      <c r="F953" s="22"/>
      <c r="J953" s="25" t="str">
        <f t="shared" si="28"/>
        <v/>
      </c>
      <c r="K953" s="25" t="str">
        <f t="shared" si="29"/>
        <v/>
      </c>
      <c r="L953" s="22"/>
    </row>
    <row r="954" spans="6:12">
      <c r="F954" s="22"/>
      <c r="J954" s="25" t="str">
        <f t="shared" si="28"/>
        <v/>
      </c>
      <c r="K954" s="25" t="str">
        <f t="shared" si="29"/>
        <v/>
      </c>
      <c r="L954" s="22"/>
    </row>
    <row r="955" spans="6:12">
      <c r="F955" s="22"/>
      <c r="J955" s="25" t="str">
        <f t="shared" si="28"/>
        <v/>
      </c>
      <c r="K955" s="25" t="str">
        <f t="shared" si="29"/>
        <v/>
      </c>
      <c r="L955" s="22"/>
    </row>
    <row r="956" spans="6:12">
      <c r="F956" s="22"/>
      <c r="J956" s="25" t="str">
        <f t="shared" si="28"/>
        <v/>
      </c>
      <c r="K956" s="25" t="str">
        <f t="shared" si="29"/>
        <v/>
      </c>
      <c r="L956" s="22"/>
    </row>
    <row r="957" spans="6:12">
      <c r="F957" s="22"/>
      <c r="J957" s="25" t="str">
        <f t="shared" si="28"/>
        <v/>
      </c>
      <c r="K957" s="25" t="str">
        <f t="shared" si="29"/>
        <v/>
      </c>
      <c r="L957" s="22"/>
    </row>
    <row r="958" spans="6:12">
      <c r="F958" s="22"/>
      <c r="J958" s="25" t="str">
        <f t="shared" si="28"/>
        <v/>
      </c>
      <c r="K958" s="25" t="str">
        <f t="shared" si="29"/>
        <v/>
      </c>
      <c r="L958" s="22"/>
    </row>
    <row r="959" spans="6:12">
      <c r="F959" s="22"/>
      <c r="J959" s="25" t="str">
        <f t="shared" si="28"/>
        <v/>
      </c>
      <c r="K959" s="25" t="str">
        <f t="shared" si="29"/>
        <v/>
      </c>
      <c r="L959" s="22"/>
    </row>
    <row r="960" spans="6:12">
      <c r="F960" s="22"/>
      <c r="J960" s="25" t="str">
        <f t="shared" si="28"/>
        <v/>
      </c>
      <c r="K960" s="25" t="str">
        <f t="shared" si="29"/>
        <v/>
      </c>
      <c r="L960" s="22"/>
    </row>
    <row r="961" spans="6:12">
      <c r="F961" s="22"/>
      <c r="J961" s="25" t="str">
        <f t="shared" si="28"/>
        <v/>
      </c>
      <c r="K961" s="25" t="str">
        <f t="shared" si="29"/>
        <v/>
      </c>
      <c r="L961" s="22"/>
    </row>
    <row r="962" spans="6:12">
      <c r="F962" s="22"/>
      <c r="J962" s="25" t="str">
        <f t="shared" si="28"/>
        <v/>
      </c>
      <c r="K962" s="25" t="str">
        <f t="shared" si="29"/>
        <v/>
      </c>
      <c r="L962" s="22"/>
    </row>
    <row r="963" spans="6:12">
      <c r="F963" s="22"/>
      <c r="J963" s="25" t="str">
        <f t="shared" si="28"/>
        <v/>
      </c>
      <c r="K963" s="25" t="str">
        <f t="shared" si="29"/>
        <v/>
      </c>
      <c r="L963" s="22"/>
    </row>
    <row r="964" spans="6:12">
      <c r="F964" s="22"/>
      <c r="J964" s="25" t="str">
        <f t="shared" si="28"/>
        <v/>
      </c>
      <c r="K964" s="25" t="str">
        <f t="shared" si="29"/>
        <v/>
      </c>
      <c r="L964" s="22"/>
    </row>
    <row r="965" spans="6:12">
      <c r="F965" s="22"/>
      <c r="J965" s="25" t="str">
        <f t="shared" si="28"/>
        <v/>
      </c>
      <c r="K965" s="25" t="str">
        <f t="shared" si="29"/>
        <v/>
      </c>
      <c r="L965" s="22"/>
    </row>
    <row r="966" spans="6:12">
      <c r="F966" s="22"/>
      <c r="J966" s="25" t="str">
        <f t="shared" si="28"/>
        <v/>
      </c>
      <c r="K966" s="25" t="str">
        <f t="shared" si="29"/>
        <v/>
      </c>
      <c r="L966" s="22"/>
    </row>
    <row r="967" spans="6:12">
      <c r="F967" s="22"/>
      <c r="J967" s="25" t="str">
        <f t="shared" si="28"/>
        <v/>
      </c>
      <c r="K967" s="25" t="str">
        <f t="shared" si="29"/>
        <v/>
      </c>
      <c r="L967" s="22"/>
    </row>
    <row r="968" spans="6:12">
      <c r="F968" s="22"/>
      <c r="J968" s="25" t="str">
        <f t="shared" si="28"/>
        <v/>
      </c>
      <c r="K968" s="25" t="str">
        <f t="shared" si="29"/>
        <v/>
      </c>
      <c r="L968" s="22"/>
    </row>
    <row r="969" spans="6:12">
      <c r="F969" s="22"/>
      <c r="J969" s="25" t="str">
        <f t="shared" si="28"/>
        <v/>
      </c>
      <c r="K969" s="25" t="str">
        <f t="shared" si="29"/>
        <v/>
      </c>
      <c r="L969" s="22"/>
    </row>
    <row r="970" spans="6:12">
      <c r="F970" s="22"/>
      <c r="J970" s="25" t="str">
        <f t="shared" si="28"/>
        <v/>
      </c>
      <c r="K970" s="25" t="str">
        <f t="shared" si="29"/>
        <v/>
      </c>
      <c r="L970" s="22"/>
    </row>
    <row r="971" spans="6:12">
      <c r="F971" s="22"/>
      <c r="J971" s="25" t="str">
        <f t="shared" si="28"/>
        <v/>
      </c>
      <c r="K971" s="25" t="str">
        <f t="shared" si="29"/>
        <v/>
      </c>
      <c r="L971" s="22"/>
    </row>
    <row r="972" spans="6:12">
      <c r="F972" s="22"/>
      <c r="J972" s="25" t="str">
        <f t="shared" si="28"/>
        <v/>
      </c>
      <c r="K972" s="25" t="str">
        <f t="shared" si="29"/>
        <v/>
      </c>
      <c r="L972" s="22"/>
    </row>
    <row r="973" spans="6:12">
      <c r="F973" s="22"/>
      <c r="J973" s="25" t="str">
        <f t="shared" ref="J973:J1036" si="30">IF(D973&lt;&gt;"",D973,"")</f>
        <v/>
      </c>
      <c r="K973" s="25" t="str">
        <f t="shared" ref="K973:K984" si="31">IF(D973="Passed",E973,IF(D973="Warning",E973,""))</f>
        <v/>
      </c>
      <c r="L973" s="22"/>
    </row>
    <row r="974" spans="6:12">
      <c r="F974" s="22"/>
      <c r="J974" s="25" t="str">
        <f t="shared" si="30"/>
        <v/>
      </c>
      <c r="K974" s="25" t="str">
        <f t="shared" si="31"/>
        <v/>
      </c>
      <c r="L974" s="22"/>
    </row>
    <row r="975" spans="6:12">
      <c r="F975" s="22"/>
      <c r="J975" s="25" t="str">
        <f t="shared" si="30"/>
        <v/>
      </c>
      <c r="K975" s="25" t="str">
        <f t="shared" si="31"/>
        <v/>
      </c>
      <c r="L975" s="22"/>
    </row>
    <row r="976" spans="6:12">
      <c r="F976" s="22"/>
      <c r="J976" s="25" t="str">
        <f t="shared" si="30"/>
        <v/>
      </c>
      <c r="K976" s="25" t="str">
        <f t="shared" si="31"/>
        <v/>
      </c>
      <c r="L976" s="22"/>
    </row>
    <row r="977" spans="6:12">
      <c r="F977" s="22"/>
      <c r="J977" s="25" t="str">
        <f t="shared" si="30"/>
        <v/>
      </c>
      <c r="K977" s="25" t="str">
        <f t="shared" si="31"/>
        <v/>
      </c>
      <c r="L977" s="22"/>
    </row>
    <row r="978" spans="6:12">
      <c r="F978" s="22"/>
      <c r="J978" s="25" t="str">
        <f t="shared" si="30"/>
        <v/>
      </c>
      <c r="K978" s="25" t="str">
        <f t="shared" si="31"/>
        <v/>
      </c>
      <c r="L978" s="22"/>
    </row>
    <row r="979" spans="6:12">
      <c r="F979" s="22"/>
      <c r="J979" s="25" t="str">
        <f t="shared" si="30"/>
        <v/>
      </c>
      <c r="K979" s="25" t="str">
        <f t="shared" si="31"/>
        <v/>
      </c>
      <c r="L979" s="22"/>
    </row>
    <row r="980" spans="6:12">
      <c r="F980" s="22"/>
      <c r="J980" s="25" t="str">
        <f t="shared" si="30"/>
        <v/>
      </c>
      <c r="K980" s="25" t="str">
        <f t="shared" si="31"/>
        <v/>
      </c>
      <c r="L980" s="22"/>
    </row>
    <row r="981" spans="6:12">
      <c r="F981" s="22"/>
      <c r="J981" s="25" t="str">
        <f t="shared" si="30"/>
        <v/>
      </c>
      <c r="K981" s="25" t="str">
        <f t="shared" si="31"/>
        <v/>
      </c>
      <c r="L981" s="22"/>
    </row>
    <row r="982" spans="6:12">
      <c r="F982" s="22"/>
      <c r="J982" s="25" t="str">
        <f t="shared" si="30"/>
        <v/>
      </c>
      <c r="K982" s="25" t="str">
        <f t="shared" si="31"/>
        <v/>
      </c>
      <c r="L982" s="22"/>
    </row>
    <row r="983" spans="6:12">
      <c r="F983" s="22"/>
      <c r="J983" s="25" t="str">
        <f t="shared" si="30"/>
        <v/>
      </c>
      <c r="K983" s="25" t="str">
        <f t="shared" si="31"/>
        <v/>
      </c>
      <c r="L983" s="22"/>
    </row>
    <row r="984" spans="6:12">
      <c r="F984" s="22"/>
      <c r="J984" s="25" t="str">
        <f t="shared" si="30"/>
        <v/>
      </c>
      <c r="K984" s="25" t="str">
        <f t="shared" si="31"/>
        <v/>
      </c>
      <c r="L984" s="22"/>
    </row>
    <row r="985" spans="6:12">
      <c r="F985" s="22"/>
      <c r="J985" s="25" t="str">
        <f t="shared" si="30"/>
        <v/>
      </c>
    </row>
    <row r="986" spans="6:12">
      <c r="F986" s="22"/>
      <c r="J986" s="25" t="str">
        <f t="shared" si="30"/>
        <v/>
      </c>
    </row>
    <row r="987" spans="6:12">
      <c r="F987" s="22"/>
      <c r="J987" s="25" t="str">
        <f t="shared" si="30"/>
        <v/>
      </c>
    </row>
    <row r="988" spans="6:12">
      <c r="F988" s="22"/>
      <c r="J988" s="25" t="str">
        <f t="shared" si="30"/>
        <v/>
      </c>
    </row>
    <row r="989" spans="6:12">
      <c r="F989" s="22"/>
      <c r="J989" s="25" t="str">
        <f t="shared" si="30"/>
        <v/>
      </c>
    </row>
    <row r="990" spans="6:12">
      <c r="F990" s="22"/>
      <c r="J990" s="25" t="str">
        <f t="shared" si="30"/>
        <v/>
      </c>
    </row>
    <row r="991" spans="6:12">
      <c r="F991" s="22"/>
      <c r="J991" s="25" t="str">
        <f t="shared" si="30"/>
        <v/>
      </c>
    </row>
    <row r="992" spans="6:12">
      <c r="F992" s="22"/>
      <c r="J992" s="25" t="str">
        <f t="shared" si="30"/>
        <v/>
      </c>
    </row>
    <row r="993" spans="6:10">
      <c r="F993" s="22"/>
      <c r="J993" s="25" t="str">
        <f t="shared" si="30"/>
        <v/>
      </c>
    </row>
    <row r="994" spans="6:10">
      <c r="F994" s="22"/>
      <c r="J994" s="25" t="str">
        <f t="shared" si="30"/>
        <v/>
      </c>
    </row>
    <row r="995" spans="6:10">
      <c r="F995" s="22"/>
      <c r="J995" s="25" t="str">
        <f t="shared" si="30"/>
        <v/>
      </c>
    </row>
    <row r="996" spans="6:10">
      <c r="F996" s="22"/>
      <c r="J996" s="25" t="str">
        <f t="shared" si="30"/>
        <v/>
      </c>
    </row>
    <row r="997" spans="6:10">
      <c r="F997" s="22"/>
      <c r="J997" s="25" t="str">
        <f t="shared" si="30"/>
        <v/>
      </c>
    </row>
    <row r="998" spans="6:10">
      <c r="F998" s="22"/>
      <c r="J998" s="25" t="str">
        <f t="shared" si="30"/>
        <v/>
      </c>
    </row>
    <row r="999" spans="6:10">
      <c r="F999" s="22"/>
      <c r="J999" s="25" t="str">
        <f t="shared" si="30"/>
        <v/>
      </c>
    </row>
    <row r="1000" spans="6:10">
      <c r="F1000" s="22"/>
      <c r="J1000" s="25" t="str">
        <f t="shared" si="30"/>
        <v/>
      </c>
    </row>
    <row r="1001" spans="6:10">
      <c r="F1001" s="22"/>
      <c r="J1001" s="25" t="str">
        <f t="shared" si="30"/>
        <v/>
      </c>
    </row>
    <row r="1002" spans="6:10">
      <c r="F1002" s="22"/>
      <c r="J1002" s="25" t="str">
        <f t="shared" si="30"/>
        <v/>
      </c>
    </row>
    <row r="1003" spans="6:10">
      <c r="F1003" s="22"/>
      <c r="J1003" s="25" t="str">
        <f t="shared" si="30"/>
        <v/>
      </c>
    </row>
    <row r="1004" spans="6:10">
      <c r="F1004" s="22"/>
      <c r="J1004" s="25" t="str">
        <f t="shared" si="30"/>
        <v/>
      </c>
    </row>
    <row r="1005" spans="6:10">
      <c r="F1005" s="22"/>
      <c r="J1005" s="25" t="str">
        <f t="shared" si="30"/>
        <v/>
      </c>
    </row>
    <row r="1006" spans="6:10">
      <c r="F1006" s="22"/>
      <c r="J1006" s="25" t="str">
        <f t="shared" si="30"/>
        <v/>
      </c>
    </row>
    <row r="1007" spans="6:10">
      <c r="F1007" s="22"/>
      <c r="J1007" s="25" t="str">
        <f t="shared" si="30"/>
        <v/>
      </c>
    </row>
    <row r="1008" spans="6:10">
      <c r="F1008" s="22"/>
      <c r="J1008" s="25" t="str">
        <f t="shared" si="30"/>
        <v/>
      </c>
    </row>
    <row r="1009" spans="6:10">
      <c r="F1009" s="22"/>
      <c r="J1009" s="25" t="str">
        <f t="shared" si="30"/>
        <v/>
      </c>
    </row>
    <row r="1010" spans="6:10">
      <c r="F1010" s="22"/>
      <c r="J1010" s="25" t="str">
        <f t="shared" si="30"/>
        <v/>
      </c>
    </row>
    <row r="1011" spans="6:10">
      <c r="F1011" s="22"/>
      <c r="J1011" s="25" t="str">
        <f t="shared" si="30"/>
        <v/>
      </c>
    </row>
    <row r="1012" spans="6:10">
      <c r="F1012" s="22"/>
      <c r="J1012" s="25" t="str">
        <f t="shared" si="30"/>
        <v/>
      </c>
    </row>
    <row r="1013" spans="6:10">
      <c r="F1013" s="22"/>
      <c r="J1013" s="25" t="str">
        <f t="shared" si="30"/>
        <v/>
      </c>
    </row>
    <row r="1014" spans="6:10">
      <c r="F1014" s="22"/>
      <c r="J1014" s="25" t="str">
        <f t="shared" si="30"/>
        <v/>
      </c>
    </row>
    <row r="1015" spans="6:10">
      <c r="F1015" s="22"/>
      <c r="J1015" s="25" t="str">
        <f t="shared" si="30"/>
        <v/>
      </c>
    </row>
    <row r="1016" spans="6:10">
      <c r="F1016" s="22"/>
      <c r="J1016" s="25" t="str">
        <f t="shared" si="30"/>
        <v/>
      </c>
    </row>
    <row r="1017" spans="6:10">
      <c r="F1017" s="22"/>
      <c r="J1017" s="25" t="str">
        <f t="shared" si="30"/>
        <v/>
      </c>
    </row>
    <row r="1018" spans="6:10">
      <c r="F1018" s="22"/>
      <c r="J1018" s="25" t="str">
        <f t="shared" si="30"/>
        <v/>
      </c>
    </row>
    <row r="1019" spans="6:10">
      <c r="F1019" s="22"/>
      <c r="J1019" s="25" t="str">
        <f t="shared" si="30"/>
        <v/>
      </c>
    </row>
    <row r="1020" spans="6:10">
      <c r="F1020" s="22"/>
      <c r="J1020" s="25" t="str">
        <f t="shared" si="30"/>
        <v/>
      </c>
    </row>
    <row r="1021" spans="6:10">
      <c r="F1021" s="22"/>
      <c r="J1021" s="25" t="str">
        <f t="shared" si="30"/>
        <v/>
      </c>
    </row>
    <row r="1022" spans="6:10">
      <c r="F1022" s="22"/>
      <c r="J1022" s="25" t="str">
        <f t="shared" si="30"/>
        <v/>
      </c>
    </row>
    <row r="1023" spans="6:10">
      <c r="F1023" s="22"/>
      <c r="J1023" s="25" t="str">
        <f t="shared" si="30"/>
        <v/>
      </c>
    </row>
    <row r="1024" spans="6:10">
      <c r="F1024" s="22"/>
      <c r="J1024" s="25" t="str">
        <f t="shared" si="30"/>
        <v/>
      </c>
    </row>
    <row r="1025" spans="6:10">
      <c r="F1025" s="22"/>
      <c r="J1025" s="25" t="str">
        <f t="shared" si="30"/>
        <v/>
      </c>
    </row>
    <row r="1026" spans="6:10">
      <c r="F1026" s="22"/>
      <c r="J1026" s="25" t="str">
        <f t="shared" si="30"/>
        <v/>
      </c>
    </row>
    <row r="1027" spans="6:10">
      <c r="F1027" s="22"/>
      <c r="J1027" s="25" t="str">
        <f t="shared" si="30"/>
        <v/>
      </c>
    </row>
    <row r="1028" spans="6:10">
      <c r="F1028" s="22"/>
      <c r="J1028" s="25" t="str">
        <f t="shared" si="30"/>
        <v/>
      </c>
    </row>
    <row r="1029" spans="6:10">
      <c r="F1029" s="22"/>
      <c r="J1029" s="25" t="str">
        <f t="shared" si="30"/>
        <v/>
      </c>
    </row>
    <row r="1030" spans="6:10">
      <c r="F1030" s="22"/>
      <c r="J1030" s="25" t="str">
        <f t="shared" si="30"/>
        <v/>
      </c>
    </row>
    <row r="1031" spans="6:10">
      <c r="F1031" s="22"/>
      <c r="J1031" s="25" t="str">
        <f t="shared" si="30"/>
        <v/>
      </c>
    </row>
    <row r="1032" spans="6:10">
      <c r="F1032" s="22"/>
      <c r="J1032" s="25" t="str">
        <f t="shared" si="30"/>
        <v/>
      </c>
    </row>
    <row r="1033" spans="6:10">
      <c r="F1033" s="22"/>
      <c r="J1033" s="25" t="str">
        <f t="shared" si="30"/>
        <v/>
      </c>
    </row>
    <row r="1034" spans="6:10">
      <c r="F1034" s="22"/>
      <c r="J1034" s="25" t="str">
        <f t="shared" si="30"/>
        <v/>
      </c>
    </row>
    <row r="1035" spans="6:10">
      <c r="F1035" s="22"/>
      <c r="J1035" s="25" t="str">
        <f t="shared" si="30"/>
        <v/>
      </c>
    </row>
    <row r="1036" spans="6:10">
      <c r="F1036" s="22"/>
      <c r="J1036" s="25" t="str">
        <f t="shared" si="30"/>
        <v/>
      </c>
    </row>
    <row r="1037" spans="6:10">
      <c r="F1037" s="22"/>
      <c r="J1037" s="25" t="str">
        <f t="shared" ref="J1037:J1100" si="32">IF(D1037&lt;&gt;"",D1037,"")</f>
        <v/>
      </c>
    </row>
    <row r="1038" spans="6:10">
      <c r="F1038" s="22"/>
      <c r="J1038" s="25" t="str">
        <f t="shared" si="32"/>
        <v/>
      </c>
    </row>
    <row r="1039" spans="6:10">
      <c r="F1039" s="22"/>
      <c r="J1039" s="25" t="str">
        <f t="shared" si="32"/>
        <v/>
      </c>
    </row>
    <row r="1040" spans="6:10">
      <c r="F1040" s="22"/>
      <c r="J1040" s="25" t="str">
        <f t="shared" si="32"/>
        <v/>
      </c>
    </row>
    <row r="1041" spans="6:10">
      <c r="F1041" s="22"/>
      <c r="J1041" s="25" t="str">
        <f t="shared" si="32"/>
        <v/>
      </c>
    </row>
    <row r="1042" spans="6:10">
      <c r="F1042" s="22"/>
      <c r="J1042" s="25" t="str">
        <f t="shared" si="32"/>
        <v/>
      </c>
    </row>
    <row r="1043" spans="6:10">
      <c r="F1043" s="22"/>
      <c r="J1043" s="25" t="str">
        <f t="shared" si="32"/>
        <v/>
      </c>
    </row>
    <row r="1044" spans="6:10">
      <c r="F1044" s="22"/>
      <c r="J1044" s="25" t="str">
        <f t="shared" si="32"/>
        <v/>
      </c>
    </row>
    <row r="1045" spans="6:10">
      <c r="F1045" s="22"/>
      <c r="J1045" s="25" t="str">
        <f t="shared" si="32"/>
        <v/>
      </c>
    </row>
    <row r="1046" spans="6:10">
      <c r="F1046" s="22"/>
      <c r="J1046" s="25" t="str">
        <f t="shared" si="32"/>
        <v/>
      </c>
    </row>
    <row r="1047" spans="6:10">
      <c r="F1047" s="22"/>
      <c r="J1047" s="25" t="str">
        <f t="shared" si="32"/>
        <v/>
      </c>
    </row>
    <row r="1048" spans="6:10">
      <c r="F1048" s="22"/>
      <c r="J1048" s="25" t="str">
        <f t="shared" si="32"/>
        <v/>
      </c>
    </row>
    <row r="1049" spans="6:10">
      <c r="F1049" s="22"/>
      <c r="J1049" s="25" t="str">
        <f t="shared" si="32"/>
        <v/>
      </c>
    </row>
    <row r="1050" spans="6:10">
      <c r="F1050" s="22"/>
      <c r="J1050" s="25" t="str">
        <f t="shared" si="32"/>
        <v/>
      </c>
    </row>
    <row r="1051" spans="6:10">
      <c r="F1051" s="22"/>
      <c r="J1051" s="25" t="str">
        <f t="shared" si="32"/>
        <v/>
      </c>
    </row>
    <row r="1052" spans="6:10">
      <c r="F1052" s="22"/>
      <c r="J1052" s="25" t="str">
        <f t="shared" si="32"/>
        <v/>
      </c>
    </row>
    <row r="1053" spans="6:10">
      <c r="F1053" s="22"/>
      <c r="J1053" s="25" t="str">
        <f t="shared" si="32"/>
        <v/>
      </c>
    </row>
    <row r="1054" spans="6:10">
      <c r="F1054" s="22"/>
      <c r="J1054" s="25" t="str">
        <f t="shared" si="32"/>
        <v/>
      </c>
    </row>
    <row r="1055" spans="6:10">
      <c r="F1055" s="22"/>
      <c r="J1055" s="25" t="str">
        <f t="shared" si="32"/>
        <v/>
      </c>
    </row>
    <row r="1056" spans="6:10">
      <c r="F1056" s="22"/>
      <c r="J1056" s="25" t="str">
        <f t="shared" si="32"/>
        <v/>
      </c>
    </row>
    <row r="1057" spans="6:10">
      <c r="F1057" s="22"/>
      <c r="J1057" s="25" t="str">
        <f t="shared" si="32"/>
        <v/>
      </c>
    </row>
    <row r="1058" spans="6:10">
      <c r="F1058" s="22"/>
      <c r="J1058" s="25" t="str">
        <f t="shared" si="32"/>
        <v/>
      </c>
    </row>
    <row r="1059" spans="6:10">
      <c r="F1059" s="22"/>
      <c r="J1059" s="25" t="str">
        <f t="shared" si="32"/>
        <v/>
      </c>
    </row>
    <row r="1060" spans="6:10">
      <c r="F1060" s="22"/>
      <c r="J1060" s="25" t="str">
        <f t="shared" si="32"/>
        <v/>
      </c>
    </row>
    <row r="1061" spans="6:10">
      <c r="F1061" s="22"/>
      <c r="J1061" s="25" t="str">
        <f t="shared" si="32"/>
        <v/>
      </c>
    </row>
    <row r="1062" spans="6:10">
      <c r="F1062" s="22"/>
      <c r="J1062" s="25" t="str">
        <f t="shared" si="32"/>
        <v/>
      </c>
    </row>
    <row r="1063" spans="6:10">
      <c r="F1063" s="22"/>
      <c r="J1063" s="25" t="str">
        <f t="shared" si="32"/>
        <v/>
      </c>
    </row>
    <row r="1064" spans="6:10">
      <c r="F1064" s="22"/>
      <c r="J1064" s="25" t="str">
        <f t="shared" si="32"/>
        <v/>
      </c>
    </row>
    <row r="1065" spans="6:10">
      <c r="F1065" s="22"/>
      <c r="J1065" s="25" t="str">
        <f t="shared" si="32"/>
        <v/>
      </c>
    </row>
    <row r="1066" spans="6:10">
      <c r="F1066" s="22"/>
      <c r="J1066" s="25" t="str">
        <f t="shared" si="32"/>
        <v/>
      </c>
    </row>
    <row r="1067" spans="6:10">
      <c r="F1067" s="22"/>
      <c r="J1067" s="25" t="str">
        <f t="shared" si="32"/>
        <v/>
      </c>
    </row>
    <row r="1068" spans="6:10">
      <c r="F1068" s="22"/>
      <c r="J1068" s="25" t="str">
        <f t="shared" si="32"/>
        <v/>
      </c>
    </row>
    <row r="1069" spans="6:10">
      <c r="F1069" s="22"/>
      <c r="J1069" s="25" t="str">
        <f t="shared" si="32"/>
        <v/>
      </c>
    </row>
    <row r="1070" spans="6:10">
      <c r="F1070" s="22"/>
      <c r="J1070" s="25" t="str">
        <f t="shared" si="32"/>
        <v/>
      </c>
    </row>
    <row r="1071" spans="6:10">
      <c r="F1071" s="22"/>
      <c r="J1071" s="25" t="str">
        <f t="shared" si="32"/>
        <v/>
      </c>
    </row>
    <row r="1072" spans="6:10">
      <c r="F1072" s="22"/>
      <c r="J1072" s="25" t="str">
        <f t="shared" si="32"/>
        <v/>
      </c>
    </row>
    <row r="1073" spans="6:10">
      <c r="F1073" s="22"/>
      <c r="J1073" s="25" t="str">
        <f t="shared" si="32"/>
        <v/>
      </c>
    </row>
    <row r="1074" spans="6:10">
      <c r="F1074" s="22"/>
      <c r="J1074" s="25" t="str">
        <f t="shared" si="32"/>
        <v/>
      </c>
    </row>
    <row r="1075" spans="6:10">
      <c r="F1075" s="22"/>
      <c r="J1075" s="25" t="str">
        <f t="shared" si="32"/>
        <v/>
      </c>
    </row>
    <row r="1076" spans="6:10">
      <c r="F1076" s="22"/>
      <c r="J1076" s="25" t="str">
        <f t="shared" si="32"/>
        <v/>
      </c>
    </row>
    <row r="1077" spans="6:10">
      <c r="F1077" s="22"/>
      <c r="J1077" s="25" t="str">
        <f t="shared" si="32"/>
        <v/>
      </c>
    </row>
    <row r="1078" spans="6:10">
      <c r="F1078" s="22"/>
      <c r="J1078" s="25" t="str">
        <f t="shared" si="32"/>
        <v/>
      </c>
    </row>
    <row r="1079" spans="6:10">
      <c r="F1079" s="22"/>
      <c r="J1079" s="25" t="str">
        <f t="shared" si="32"/>
        <v/>
      </c>
    </row>
    <row r="1080" spans="6:10">
      <c r="F1080" s="22"/>
      <c r="J1080" s="25" t="str">
        <f t="shared" si="32"/>
        <v/>
      </c>
    </row>
    <row r="1081" spans="6:10">
      <c r="F1081" s="22"/>
      <c r="J1081" s="25" t="str">
        <f t="shared" si="32"/>
        <v/>
      </c>
    </row>
    <row r="1082" spans="6:10">
      <c r="F1082" s="22"/>
      <c r="J1082" s="25" t="str">
        <f t="shared" si="32"/>
        <v/>
      </c>
    </row>
    <row r="1083" spans="6:10">
      <c r="F1083" s="22"/>
      <c r="J1083" s="25" t="str">
        <f t="shared" si="32"/>
        <v/>
      </c>
    </row>
    <row r="1084" spans="6:10">
      <c r="F1084" s="22"/>
      <c r="J1084" s="25" t="str">
        <f t="shared" si="32"/>
        <v/>
      </c>
    </row>
    <row r="1085" spans="6:10">
      <c r="F1085" s="22"/>
      <c r="J1085" s="25" t="str">
        <f t="shared" si="32"/>
        <v/>
      </c>
    </row>
    <row r="1086" spans="6:10">
      <c r="F1086" s="22"/>
      <c r="J1086" s="25" t="str">
        <f t="shared" si="32"/>
        <v/>
      </c>
    </row>
    <row r="1087" spans="6:10">
      <c r="F1087" s="22"/>
      <c r="J1087" s="25" t="str">
        <f t="shared" si="32"/>
        <v/>
      </c>
    </row>
    <row r="1088" spans="6:10">
      <c r="F1088" s="22"/>
      <c r="J1088" s="25" t="str">
        <f t="shared" si="32"/>
        <v/>
      </c>
    </row>
    <row r="1089" spans="6:10">
      <c r="F1089" s="22"/>
      <c r="J1089" s="25" t="str">
        <f t="shared" si="32"/>
        <v/>
      </c>
    </row>
    <row r="1090" spans="6:10">
      <c r="F1090" s="22"/>
      <c r="J1090" s="25" t="str">
        <f t="shared" si="32"/>
        <v/>
      </c>
    </row>
    <row r="1091" spans="6:10">
      <c r="F1091" s="22"/>
      <c r="J1091" s="25" t="str">
        <f t="shared" si="32"/>
        <v/>
      </c>
    </row>
    <row r="1092" spans="6:10">
      <c r="F1092" s="22"/>
      <c r="J1092" s="25" t="str">
        <f t="shared" si="32"/>
        <v/>
      </c>
    </row>
    <row r="1093" spans="6:10">
      <c r="F1093" s="22"/>
      <c r="J1093" s="25" t="str">
        <f t="shared" si="32"/>
        <v/>
      </c>
    </row>
    <row r="1094" spans="6:10">
      <c r="F1094" s="22"/>
      <c r="J1094" s="25" t="str">
        <f t="shared" si="32"/>
        <v/>
      </c>
    </row>
    <row r="1095" spans="6:10">
      <c r="F1095" s="22"/>
      <c r="J1095" s="25" t="str">
        <f t="shared" si="32"/>
        <v/>
      </c>
    </row>
    <row r="1096" spans="6:10">
      <c r="F1096" s="22"/>
      <c r="J1096" s="25" t="str">
        <f t="shared" si="32"/>
        <v/>
      </c>
    </row>
    <row r="1097" spans="6:10">
      <c r="F1097" s="22"/>
      <c r="J1097" s="25" t="str">
        <f t="shared" si="32"/>
        <v/>
      </c>
    </row>
    <row r="1098" spans="6:10">
      <c r="F1098" s="22"/>
      <c r="J1098" s="25" t="str">
        <f t="shared" si="32"/>
        <v/>
      </c>
    </row>
    <row r="1099" spans="6:10">
      <c r="F1099" s="22"/>
      <c r="J1099" s="25" t="str">
        <f t="shared" si="32"/>
        <v/>
      </c>
    </row>
    <row r="1100" spans="6:10">
      <c r="F1100" s="22"/>
      <c r="J1100" s="25" t="str">
        <f t="shared" si="32"/>
        <v/>
      </c>
    </row>
    <row r="1101" spans="6:10">
      <c r="F1101" s="22"/>
      <c r="J1101" s="25" t="str">
        <f t="shared" ref="J1101:J1164" si="33">IF(D1101&lt;&gt;"",D1101,"")</f>
        <v/>
      </c>
    </row>
    <row r="1102" spans="6:10">
      <c r="F1102" s="22"/>
      <c r="J1102" s="25" t="str">
        <f t="shared" si="33"/>
        <v/>
      </c>
    </row>
    <row r="1103" spans="6:10">
      <c r="F1103" s="22"/>
      <c r="J1103" s="25" t="str">
        <f t="shared" si="33"/>
        <v/>
      </c>
    </row>
    <row r="1104" spans="6:10">
      <c r="F1104" s="22"/>
      <c r="J1104" s="25" t="str">
        <f t="shared" si="33"/>
        <v/>
      </c>
    </row>
    <row r="1105" spans="6:10">
      <c r="F1105" s="22"/>
      <c r="J1105" s="25" t="str">
        <f t="shared" si="33"/>
        <v/>
      </c>
    </row>
    <row r="1106" spans="6:10">
      <c r="F1106" s="22"/>
      <c r="J1106" s="25" t="str">
        <f t="shared" si="33"/>
        <v/>
      </c>
    </row>
    <row r="1107" spans="6:10">
      <c r="F1107" s="22"/>
      <c r="J1107" s="25" t="str">
        <f t="shared" si="33"/>
        <v/>
      </c>
    </row>
    <row r="1108" spans="6:10">
      <c r="F1108" s="22"/>
      <c r="J1108" s="25" t="str">
        <f t="shared" si="33"/>
        <v/>
      </c>
    </row>
    <row r="1109" spans="6:10">
      <c r="F1109" s="22"/>
      <c r="J1109" s="25" t="str">
        <f t="shared" si="33"/>
        <v/>
      </c>
    </row>
    <row r="1110" spans="6:10">
      <c r="F1110" s="22"/>
      <c r="J1110" s="25" t="str">
        <f t="shared" si="33"/>
        <v/>
      </c>
    </row>
    <row r="1111" spans="6:10">
      <c r="F1111" s="22"/>
      <c r="J1111" s="25" t="str">
        <f t="shared" si="33"/>
        <v/>
      </c>
    </row>
    <row r="1112" spans="6:10">
      <c r="F1112" s="22"/>
      <c r="J1112" s="25" t="str">
        <f t="shared" si="33"/>
        <v/>
      </c>
    </row>
    <row r="1113" spans="6:10">
      <c r="F1113" s="22"/>
      <c r="J1113" s="25" t="str">
        <f t="shared" si="33"/>
        <v/>
      </c>
    </row>
    <row r="1114" spans="6:10">
      <c r="F1114" s="22"/>
      <c r="J1114" s="25" t="str">
        <f t="shared" si="33"/>
        <v/>
      </c>
    </row>
    <row r="1115" spans="6:10">
      <c r="F1115" s="22"/>
      <c r="J1115" s="25" t="str">
        <f t="shared" si="33"/>
        <v/>
      </c>
    </row>
    <row r="1116" spans="6:10">
      <c r="F1116" s="22"/>
      <c r="J1116" s="25" t="str">
        <f t="shared" si="33"/>
        <v/>
      </c>
    </row>
    <row r="1117" spans="6:10">
      <c r="F1117" s="22"/>
      <c r="J1117" s="25" t="str">
        <f t="shared" si="33"/>
        <v/>
      </c>
    </row>
    <row r="1118" spans="6:10">
      <c r="F1118" s="22"/>
      <c r="J1118" s="25" t="str">
        <f t="shared" si="33"/>
        <v/>
      </c>
    </row>
    <row r="1119" spans="6:10">
      <c r="F1119" s="22"/>
      <c r="J1119" s="25" t="str">
        <f t="shared" si="33"/>
        <v/>
      </c>
    </row>
    <row r="1120" spans="6:10">
      <c r="F1120" s="22"/>
      <c r="J1120" s="25" t="str">
        <f t="shared" si="33"/>
        <v/>
      </c>
    </row>
    <row r="1121" spans="6:10">
      <c r="F1121" s="22"/>
      <c r="J1121" s="25" t="str">
        <f t="shared" si="33"/>
        <v/>
      </c>
    </row>
    <row r="1122" spans="6:10">
      <c r="F1122" s="22"/>
      <c r="J1122" s="25" t="str">
        <f t="shared" si="33"/>
        <v/>
      </c>
    </row>
    <row r="1123" spans="6:10">
      <c r="F1123" s="22"/>
      <c r="J1123" s="25" t="str">
        <f t="shared" si="33"/>
        <v/>
      </c>
    </row>
    <row r="1124" spans="6:10">
      <c r="F1124" s="22"/>
      <c r="J1124" s="25" t="str">
        <f t="shared" si="33"/>
        <v/>
      </c>
    </row>
    <row r="1125" spans="6:10">
      <c r="F1125" s="22"/>
      <c r="J1125" s="25" t="str">
        <f t="shared" si="33"/>
        <v/>
      </c>
    </row>
    <row r="1126" spans="6:10">
      <c r="F1126" s="22"/>
      <c r="J1126" s="25" t="str">
        <f t="shared" si="33"/>
        <v/>
      </c>
    </row>
    <row r="1127" spans="6:10">
      <c r="F1127" s="22"/>
      <c r="J1127" s="25" t="str">
        <f t="shared" si="33"/>
        <v/>
      </c>
    </row>
    <row r="1128" spans="6:10">
      <c r="F1128" s="22"/>
      <c r="J1128" s="25" t="str">
        <f t="shared" si="33"/>
        <v/>
      </c>
    </row>
    <row r="1129" spans="6:10">
      <c r="F1129" s="22"/>
      <c r="J1129" s="25" t="str">
        <f t="shared" si="33"/>
        <v/>
      </c>
    </row>
    <row r="1130" spans="6:10">
      <c r="F1130" s="22"/>
      <c r="J1130" s="25" t="str">
        <f t="shared" si="33"/>
        <v/>
      </c>
    </row>
    <row r="1131" spans="6:10">
      <c r="F1131" s="22"/>
      <c r="J1131" s="25" t="str">
        <f t="shared" si="33"/>
        <v/>
      </c>
    </row>
    <row r="1132" spans="6:10">
      <c r="F1132" s="22"/>
      <c r="J1132" s="25" t="str">
        <f t="shared" si="33"/>
        <v/>
      </c>
    </row>
    <row r="1133" spans="6:10">
      <c r="F1133" s="22"/>
      <c r="J1133" s="25" t="str">
        <f t="shared" si="33"/>
        <v/>
      </c>
    </row>
    <row r="1134" spans="6:10">
      <c r="F1134" s="22"/>
      <c r="J1134" s="25" t="str">
        <f t="shared" si="33"/>
        <v/>
      </c>
    </row>
    <row r="1135" spans="6:10">
      <c r="F1135" s="22"/>
      <c r="J1135" s="25" t="str">
        <f t="shared" si="33"/>
        <v/>
      </c>
    </row>
    <row r="1136" spans="6:10">
      <c r="F1136" s="22"/>
      <c r="J1136" s="25" t="str">
        <f t="shared" si="33"/>
        <v/>
      </c>
    </row>
    <row r="1137" spans="6:10">
      <c r="F1137" s="22"/>
      <c r="J1137" s="25" t="str">
        <f t="shared" si="33"/>
        <v/>
      </c>
    </row>
    <row r="1138" spans="6:10">
      <c r="F1138" s="22"/>
      <c r="J1138" s="25" t="str">
        <f t="shared" si="33"/>
        <v/>
      </c>
    </row>
    <row r="1139" spans="6:10">
      <c r="F1139" s="22"/>
      <c r="J1139" s="25" t="str">
        <f t="shared" si="33"/>
        <v/>
      </c>
    </row>
    <row r="1140" spans="6:10">
      <c r="F1140" s="22"/>
      <c r="J1140" s="25" t="str">
        <f t="shared" si="33"/>
        <v/>
      </c>
    </row>
    <row r="1141" spans="6:10">
      <c r="F1141" s="22"/>
      <c r="J1141" s="25" t="str">
        <f t="shared" si="33"/>
        <v/>
      </c>
    </row>
    <row r="1142" spans="6:10">
      <c r="F1142" s="22"/>
      <c r="J1142" s="25" t="str">
        <f t="shared" si="33"/>
        <v/>
      </c>
    </row>
    <row r="1143" spans="6:10">
      <c r="F1143" s="22"/>
      <c r="J1143" s="25" t="str">
        <f t="shared" si="33"/>
        <v/>
      </c>
    </row>
    <row r="1144" spans="6:10">
      <c r="F1144" s="22"/>
      <c r="J1144" s="25" t="str">
        <f t="shared" si="33"/>
        <v/>
      </c>
    </row>
    <row r="1145" spans="6:10">
      <c r="F1145" s="22"/>
      <c r="J1145" s="25" t="str">
        <f t="shared" si="33"/>
        <v/>
      </c>
    </row>
    <row r="1146" spans="6:10">
      <c r="F1146" s="22"/>
      <c r="J1146" s="25" t="str">
        <f t="shared" si="33"/>
        <v/>
      </c>
    </row>
    <row r="1147" spans="6:10">
      <c r="F1147" s="22"/>
      <c r="J1147" s="25" t="str">
        <f t="shared" si="33"/>
        <v/>
      </c>
    </row>
    <row r="1148" spans="6:10">
      <c r="F1148" s="22"/>
      <c r="J1148" s="25" t="str">
        <f t="shared" si="33"/>
        <v/>
      </c>
    </row>
    <row r="1149" spans="6:10">
      <c r="F1149" s="22"/>
      <c r="J1149" s="25" t="str">
        <f t="shared" si="33"/>
        <v/>
      </c>
    </row>
    <row r="1150" spans="6:10">
      <c r="F1150" s="22"/>
      <c r="J1150" s="25" t="str">
        <f t="shared" si="33"/>
        <v/>
      </c>
    </row>
    <row r="1151" spans="6:10">
      <c r="F1151" s="22"/>
      <c r="J1151" s="25" t="str">
        <f t="shared" si="33"/>
        <v/>
      </c>
    </row>
    <row r="1152" spans="6:10">
      <c r="F1152" s="22"/>
      <c r="J1152" s="25" t="str">
        <f t="shared" si="33"/>
        <v/>
      </c>
    </row>
    <row r="1153" spans="6:10">
      <c r="F1153" s="22"/>
      <c r="J1153" s="25" t="str">
        <f t="shared" si="33"/>
        <v/>
      </c>
    </row>
    <row r="1154" spans="6:10">
      <c r="F1154" s="22"/>
      <c r="J1154" s="25" t="str">
        <f t="shared" si="33"/>
        <v/>
      </c>
    </row>
    <row r="1155" spans="6:10">
      <c r="F1155" s="22"/>
      <c r="J1155" s="25" t="str">
        <f t="shared" si="33"/>
        <v/>
      </c>
    </row>
    <row r="1156" spans="6:10">
      <c r="F1156" s="22"/>
      <c r="J1156" s="25" t="str">
        <f t="shared" si="33"/>
        <v/>
      </c>
    </row>
    <row r="1157" spans="6:10">
      <c r="F1157" s="22"/>
      <c r="J1157" s="25" t="str">
        <f t="shared" si="33"/>
        <v/>
      </c>
    </row>
    <row r="1158" spans="6:10">
      <c r="F1158" s="22"/>
      <c r="J1158" s="25" t="str">
        <f t="shared" si="33"/>
        <v/>
      </c>
    </row>
    <row r="1159" spans="6:10">
      <c r="F1159" s="22"/>
      <c r="J1159" s="25" t="str">
        <f t="shared" si="33"/>
        <v/>
      </c>
    </row>
    <row r="1160" spans="6:10">
      <c r="F1160" s="22"/>
      <c r="J1160" s="25" t="str">
        <f t="shared" si="33"/>
        <v/>
      </c>
    </row>
    <row r="1161" spans="6:10">
      <c r="F1161" s="22"/>
      <c r="J1161" s="25" t="str">
        <f t="shared" si="33"/>
        <v/>
      </c>
    </row>
    <row r="1162" spans="6:10">
      <c r="F1162" s="22"/>
      <c r="J1162" s="25" t="str">
        <f t="shared" si="33"/>
        <v/>
      </c>
    </row>
    <row r="1163" spans="6:10">
      <c r="F1163" s="22"/>
      <c r="J1163" s="25" t="str">
        <f t="shared" si="33"/>
        <v/>
      </c>
    </row>
    <row r="1164" spans="6:10">
      <c r="F1164" s="22"/>
      <c r="J1164" s="25" t="str">
        <f t="shared" si="33"/>
        <v/>
      </c>
    </row>
    <row r="1165" spans="6:10">
      <c r="F1165" s="22"/>
      <c r="J1165" s="25" t="str">
        <f t="shared" ref="J1165:J1228" si="34">IF(D1165&lt;&gt;"",D1165,"")</f>
        <v/>
      </c>
    </row>
    <row r="1166" spans="6:10">
      <c r="F1166" s="22"/>
      <c r="J1166" s="25" t="str">
        <f t="shared" si="34"/>
        <v/>
      </c>
    </row>
    <row r="1167" spans="6:10">
      <c r="F1167" s="22"/>
      <c r="J1167" s="25" t="str">
        <f t="shared" si="34"/>
        <v/>
      </c>
    </row>
    <row r="1168" spans="6:10">
      <c r="F1168" s="22"/>
      <c r="J1168" s="25" t="str">
        <f t="shared" si="34"/>
        <v/>
      </c>
    </row>
    <row r="1169" spans="6:10">
      <c r="F1169" s="22"/>
      <c r="J1169" s="25" t="str">
        <f t="shared" si="34"/>
        <v/>
      </c>
    </row>
    <row r="1170" spans="6:10">
      <c r="F1170" s="22"/>
      <c r="J1170" s="25" t="str">
        <f t="shared" si="34"/>
        <v/>
      </c>
    </row>
    <row r="1171" spans="6:10">
      <c r="F1171" s="22"/>
      <c r="J1171" s="25" t="str">
        <f t="shared" si="34"/>
        <v/>
      </c>
    </row>
    <row r="1172" spans="6:10">
      <c r="F1172" s="22"/>
      <c r="J1172" s="25" t="str">
        <f t="shared" si="34"/>
        <v/>
      </c>
    </row>
    <row r="1173" spans="6:10">
      <c r="F1173" s="22"/>
      <c r="J1173" s="25" t="str">
        <f t="shared" si="34"/>
        <v/>
      </c>
    </row>
    <row r="1174" spans="6:10">
      <c r="F1174" s="22"/>
      <c r="J1174" s="25" t="str">
        <f t="shared" si="34"/>
        <v/>
      </c>
    </row>
    <row r="1175" spans="6:10">
      <c r="F1175" s="22"/>
      <c r="J1175" s="25" t="str">
        <f t="shared" si="34"/>
        <v/>
      </c>
    </row>
    <row r="1176" spans="6:10">
      <c r="F1176" s="22"/>
      <c r="J1176" s="25" t="str">
        <f t="shared" si="34"/>
        <v/>
      </c>
    </row>
    <row r="1177" spans="6:10">
      <c r="F1177" s="22"/>
      <c r="J1177" s="25" t="str">
        <f t="shared" si="34"/>
        <v/>
      </c>
    </row>
    <row r="1178" spans="6:10">
      <c r="F1178" s="22"/>
      <c r="J1178" s="25" t="str">
        <f t="shared" si="34"/>
        <v/>
      </c>
    </row>
    <row r="1179" spans="6:10">
      <c r="F1179" s="22"/>
      <c r="J1179" s="25" t="str">
        <f t="shared" si="34"/>
        <v/>
      </c>
    </row>
    <row r="1180" spans="6:10">
      <c r="F1180" s="22"/>
      <c r="J1180" s="25" t="str">
        <f t="shared" si="34"/>
        <v/>
      </c>
    </row>
    <row r="1181" spans="6:10">
      <c r="F1181" s="22"/>
      <c r="J1181" s="25" t="str">
        <f t="shared" si="34"/>
        <v/>
      </c>
    </row>
    <row r="1182" spans="6:10">
      <c r="F1182" s="22"/>
      <c r="J1182" s="25" t="str">
        <f t="shared" si="34"/>
        <v/>
      </c>
    </row>
    <row r="1183" spans="6:10">
      <c r="F1183" s="22"/>
      <c r="J1183" s="25" t="str">
        <f t="shared" si="34"/>
        <v/>
      </c>
    </row>
    <row r="1184" spans="6:10">
      <c r="F1184" s="22"/>
      <c r="J1184" s="25" t="str">
        <f t="shared" si="34"/>
        <v/>
      </c>
    </row>
    <row r="1185" spans="6:10">
      <c r="F1185" s="22"/>
      <c r="J1185" s="25" t="str">
        <f t="shared" si="34"/>
        <v/>
      </c>
    </row>
    <row r="1186" spans="6:10">
      <c r="F1186" s="22"/>
      <c r="J1186" s="25" t="str">
        <f t="shared" si="34"/>
        <v/>
      </c>
    </row>
    <row r="1187" spans="6:10">
      <c r="F1187" s="22"/>
      <c r="J1187" s="25" t="str">
        <f t="shared" si="34"/>
        <v/>
      </c>
    </row>
    <row r="1188" spans="6:10">
      <c r="F1188" s="22"/>
      <c r="J1188" s="25" t="str">
        <f t="shared" si="34"/>
        <v/>
      </c>
    </row>
    <row r="1189" spans="6:10">
      <c r="F1189" s="22"/>
      <c r="J1189" s="25" t="str">
        <f t="shared" si="34"/>
        <v/>
      </c>
    </row>
    <row r="1190" spans="6:10">
      <c r="F1190" s="22"/>
      <c r="J1190" s="25" t="str">
        <f t="shared" si="34"/>
        <v/>
      </c>
    </row>
    <row r="1191" spans="6:10">
      <c r="F1191" s="22"/>
      <c r="J1191" s="25" t="str">
        <f t="shared" si="34"/>
        <v/>
      </c>
    </row>
    <row r="1192" spans="6:10">
      <c r="F1192" s="22"/>
      <c r="J1192" s="25" t="str">
        <f t="shared" si="34"/>
        <v/>
      </c>
    </row>
    <row r="1193" spans="6:10">
      <c r="F1193" s="22"/>
      <c r="J1193" s="25" t="str">
        <f t="shared" si="34"/>
        <v/>
      </c>
    </row>
    <row r="1194" spans="6:10">
      <c r="F1194" s="22"/>
      <c r="J1194" s="25" t="str">
        <f t="shared" si="34"/>
        <v/>
      </c>
    </row>
    <row r="1195" spans="6:10">
      <c r="F1195" s="22"/>
      <c r="J1195" s="25" t="str">
        <f t="shared" si="34"/>
        <v/>
      </c>
    </row>
    <row r="1196" spans="6:10">
      <c r="F1196" s="22"/>
      <c r="J1196" s="25" t="str">
        <f t="shared" si="34"/>
        <v/>
      </c>
    </row>
    <row r="1197" spans="6:10">
      <c r="F1197" s="22"/>
      <c r="J1197" s="25" t="str">
        <f t="shared" si="34"/>
        <v/>
      </c>
    </row>
    <row r="1198" spans="6:10">
      <c r="F1198" s="22"/>
      <c r="J1198" s="25" t="str">
        <f t="shared" si="34"/>
        <v/>
      </c>
    </row>
    <row r="1199" spans="6:10">
      <c r="F1199" s="22"/>
      <c r="J1199" s="25" t="str">
        <f t="shared" si="34"/>
        <v/>
      </c>
    </row>
    <row r="1200" spans="6:10">
      <c r="F1200" s="22"/>
      <c r="J1200" s="25" t="str">
        <f t="shared" si="34"/>
        <v/>
      </c>
    </row>
    <row r="1201" spans="6:10">
      <c r="F1201" s="22"/>
      <c r="J1201" s="25" t="str">
        <f t="shared" si="34"/>
        <v/>
      </c>
    </row>
    <row r="1202" spans="6:10">
      <c r="F1202" s="22"/>
      <c r="J1202" s="25" t="str">
        <f t="shared" si="34"/>
        <v/>
      </c>
    </row>
    <row r="1203" spans="6:10">
      <c r="F1203" s="22"/>
      <c r="J1203" s="25" t="str">
        <f t="shared" si="34"/>
        <v/>
      </c>
    </row>
    <row r="1204" spans="6:10">
      <c r="F1204" s="22"/>
      <c r="J1204" s="25" t="str">
        <f t="shared" si="34"/>
        <v/>
      </c>
    </row>
    <row r="1205" spans="6:10">
      <c r="F1205" s="22"/>
      <c r="J1205" s="25" t="str">
        <f t="shared" si="34"/>
        <v/>
      </c>
    </row>
    <row r="1206" spans="6:10">
      <c r="F1206" s="22"/>
      <c r="J1206" s="25" t="str">
        <f t="shared" si="34"/>
        <v/>
      </c>
    </row>
    <row r="1207" spans="6:10">
      <c r="F1207" s="22"/>
      <c r="J1207" s="25" t="str">
        <f t="shared" si="34"/>
        <v/>
      </c>
    </row>
    <row r="1208" spans="6:10">
      <c r="F1208" s="22"/>
      <c r="J1208" s="25" t="str">
        <f t="shared" si="34"/>
        <v/>
      </c>
    </row>
    <row r="1209" spans="6:10">
      <c r="F1209" s="22"/>
      <c r="J1209" s="25" t="str">
        <f t="shared" si="34"/>
        <v/>
      </c>
    </row>
    <row r="1210" spans="6:10">
      <c r="F1210" s="22"/>
      <c r="J1210" s="25" t="str">
        <f t="shared" si="34"/>
        <v/>
      </c>
    </row>
    <row r="1211" spans="6:10">
      <c r="F1211" s="22"/>
      <c r="J1211" s="25" t="str">
        <f t="shared" si="34"/>
        <v/>
      </c>
    </row>
    <row r="1212" spans="6:10">
      <c r="F1212" s="22"/>
      <c r="J1212" s="25" t="str">
        <f t="shared" si="34"/>
        <v/>
      </c>
    </row>
    <row r="1213" spans="6:10">
      <c r="F1213" s="22"/>
      <c r="J1213" s="25" t="str">
        <f t="shared" si="34"/>
        <v/>
      </c>
    </row>
    <row r="1214" spans="6:10">
      <c r="F1214" s="22"/>
      <c r="J1214" s="25" t="str">
        <f t="shared" si="34"/>
        <v/>
      </c>
    </row>
    <row r="1215" spans="6:10">
      <c r="F1215" s="22"/>
      <c r="J1215" s="25" t="str">
        <f t="shared" si="34"/>
        <v/>
      </c>
    </row>
    <row r="1216" spans="6:10">
      <c r="F1216" s="22"/>
      <c r="J1216" s="25" t="str">
        <f t="shared" si="34"/>
        <v/>
      </c>
    </row>
    <row r="1217" spans="6:10">
      <c r="F1217" s="22"/>
      <c r="J1217" s="25" t="str">
        <f t="shared" si="34"/>
        <v/>
      </c>
    </row>
    <row r="1218" spans="6:10">
      <c r="F1218" s="22"/>
      <c r="J1218" s="25" t="str">
        <f t="shared" si="34"/>
        <v/>
      </c>
    </row>
    <row r="1219" spans="6:10">
      <c r="F1219" s="22"/>
      <c r="J1219" s="25" t="str">
        <f t="shared" si="34"/>
        <v/>
      </c>
    </row>
    <row r="1220" spans="6:10">
      <c r="F1220" s="22"/>
      <c r="J1220" s="25" t="str">
        <f t="shared" si="34"/>
        <v/>
      </c>
    </row>
    <row r="1221" spans="6:10">
      <c r="F1221" s="22"/>
      <c r="J1221" s="25" t="str">
        <f t="shared" si="34"/>
        <v/>
      </c>
    </row>
    <row r="1222" spans="6:10">
      <c r="F1222" s="22"/>
      <c r="J1222" s="25" t="str">
        <f t="shared" si="34"/>
        <v/>
      </c>
    </row>
    <row r="1223" spans="6:10">
      <c r="F1223" s="22"/>
      <c r="J1223" s="25" t="str">
        <f t="shared" si="34"/>
        <v/>
      </c>
    </row>
    <row r="1224" spans="6:10">
      <c r="F1224" s="22"/>
      <c r="J1224" s="25" t="str">
        <f t="shared" si="34"/>
        <v/>
      </c>
    </row>
    <row r="1225" spans="6:10">
      <c r="F1225" s="22"/>
      <c r="J1225" s="25" t="str">
        <f t="shared" si="34"/>
        <v/>
      </c>
    </row>
    <row r="1226" spans="6:10">
      <c r="F1226" s="22"/>
      <c r="J1226" s="25" t="str">
        <f t="shared" si="34"/>
        <v/>
      </c>
    </row>
    <row r="1227" spans="6:10">
      <c r="F1227" s="22"/>
      <c r="J1227" s="25" t="str">
        <f t="shared" si="34"/>
        <v/>
      </c>
    </row>
    <row r="1228" spans="6:10">
      <c r="F1228" s="22"/>
      <c r="J1228" s="25" t="str">
        <f t="shared" si="34"/>
        <v/>
      </c>
    </row>
    <row r="1229" spans="6:10">
      <c r="F1229" s="22"/>
      <c r="J1229" s="25" t="str">
        <f t="shared" ref="J1229:J1292" si="35">IF(D1229&lt;&gt;"",D1229,"")</f>
        <v/>
      </c>
    </row>
    <row r="1230" spans="6:10">
      <c r="F1230" s="22"/>
      <c r="J1230" s="25" t="str">
        <f t="shared" si="35"/>
        <v/>
      </c>
    </row>
    <row r="1231" spans="6:10">
      <c r="F1231" s="22"/>
      <c r="J1231" s="25" t="str">
        <f t="shared" si="35"/>
        <v/>
      </c>
    </row>
    <row r="1232" spans="6:10">
      <c r="F1232" s="22"/>
      <c r="J1232" s="25" t="str">
        <f t="shared" si="35"/>
        <v/>
      </c>
    </row>
    <row r="1233" spans="6:10">
      <c r="F1233" s="22"/>
      <c r="J1233" s="25" t="str">
        <f t="shared" si="35"/>
        <v/>
      </c>
    </row>
    <row r="1234" spans="6:10">
      <c r="F1234" s="22"/>
      <c r="J1234" s="25" t="str">
        <f t="shared" si="35"/>
        <v/>
      </c>
    </row>
    <row r="1235" spans="6:10">
      <c r="F1235" s="22"/>
      <c r="J1235" s="25" t="str">
        <f t="shared" si="35"/>
        <v/>
      </c>
    </row>
    <row r="1236" spans="6:10">
      <c r="F1236" s="22"/>
      <c r="J1236" s="25" t="str">
        <f t="shared" si="35"/>
        <v/>
      </c>
    </row>
    <row r="1237" spans="6:10">
      <c r="F1237" s="22"/>
      <c r="J1237" s="25" t="str">
        <f t="shared" si="35"/>
        <v/>
      </c>
    </row>
    <row r="1238" spans="6:10">
      <c r="F1238" s="22"/>
      <c r="J1238" s="25" t="str">
        <f t="shared" si="35"/>
        <v/>
      </c>
    </row>
    <row r="1239" spans="6:10">
      <c r="F1239" s="22"/>
      <c r="J1239" s="25" t="str">
        <f t="shared" si="35"/>
        <v/>
      </c>
    </row>
    <row r="1240" spans="6:10">
      <c r="F1240" s="22"/>
      <c r="J1240" s="25" t="str">
        <f t="shared" si="35"/>
        <v/>
      </c>
    </row>
    <row r="1241" spans="6:10">
      <c r="F1241" s="22"/>
      <c r="J1241" s="25" t="str">
        <f t="shared" si="35"/>
        <v/>
      </c>
    </row>
    <row r="1242" spans="6:10">
      <c r="F1242" s="22"/>
      <c r="J1242" s="25" t="str">
        <f t="shared" si="35"/>
        <v/>
      </c>
    </row>
    <row r="1243" spans="6:10">
      <c r="F1243" s="22"/>
      <c r="J1243" s="25" t="str">
        <f t="shared" si="35"/>
        <v/>
      </c>
    </row>
    <row r="1244" spans="6:10">
      <c r="F1244" s="22"/>
      <c r="J1244" s="25" t="str">
        <f t="shared" si="35"/>
        <v/>
      </c>
    </row>
    <row r="1245" spans="6:10">
      <c r="F1245" s="22"/>
      <c r="J1245" s="25" t="str">
        <f t="shared" si="35"/>
        <v/>
      </c>
    </row>
    <row r="1246" spans="6:10">
      <c r="F1246" s="22"/>
      <c r="J1246" s="25" t="str">
        <f t="shared" si="35"/>
        <v/>
      </c>
    </row>
    <row r="1247" spans="6:10">
      <c r="F1247" s="22"/>
      <c r="J1247" s="25" t="str">
        <f t="shared" si="35"/>
        <v/>
      </c>
    </row>
    <row r="1248" spans="6:10">
      <c r="F1248" s="22"/>
      <c r="J1248" s="25" t="str">
        <f t="shared" si="35"/>
        <v/>
      </c>
    </row>
    <row r="1249" spans="6:10">
      <c r="F1249" s="22"/>
      <c r="J1249" s="25" t="str">
        <f t="shared" si="35"/>
        <v/>
      </c>
    </row>
    <row r="1250" spans="6:10">
      <c r="F1250" s="22"/>
      <c r="J1250" s="25" t="str">
        <f t="shared" si="35"/>
        <v/>
      </c>
    </row>
    <row r="1251" spans="6:10">
      <c r="F1251" s="22"/>
      <c r="J1251" s="25" t="str">
        <f t="shared" si="35"/>
        <v/>
      </c>
    </row>
    <row r="1252" spans="6:10">
      <c r="F1252" s="22"/>
      <c r="J1252" s="25" t="str">
        <f t="shared" si="35"/>
        <v/>
      </c>
    </row>
    <row r="1253" spans="6:10">
      <c r="F1253" s="22"/>
      <c r="J1253" s="25" t="str">
        <f t="shared" si="35"/>
        <v/>
      </c>
    </row>
    <row r="1254" spans="6:10">
      <c r="F1254" s="22"/>
      <c r="J1254" s="25" t="str">
        <f t="shared" si="35"/>
        <v/>
      </c>
    </row>
    <row r="1255" spans="6:10">
      <c r="F1255" s="22"/>
      <c r="J1255" s="25" t="str">
        <f t="shared" si="35"/>
        <v/>
      </c>
    </row>
    <row r="1256" spans="6:10">
      <c r="F1256" s="22"/>
      <c r="J1256" s="25" t="str">
        <f t="shared" si="35"/>
        <v/>
      </c>
    </row>
    <row r="1257" spans="6:10">
      <c r="F1257" s="22"/>
      <c r="J1257" s="25" t="str">
        <f t="shared" si="35"/>
        <v/>
      </c>
    </row>
    <row r="1258" spans="6:10">
      <c r="F1258" s="22"/>
      <c r="J1258" s="25" t="str">
        <f t="shared" si="35"/>
        <v/>
      </c>
    </row>
    <row r="1259" spans="6:10">
      <c r="F1259" s="22"/>
      <c r="J1259" s="25" t="str">
        <f t="shared" si="35"/>
        <v/>
      </c>
    </row>
    <row r="1260" spans="6:10">
      <c r="F1260" s="22"/>
      <c r="J1260" s="25" t="str">
        <f t="shared" si="35"/>
        <v/>
      </c>
    </row>
    <row r="1261" spans="6:10">
      <c r="F1261" s="22"/>
      <c r="J1261" s="25" t="str">
        <f t="shared" si="35"/>
        <v/>
      </c>
    </row>
    <row r="1262" spans="6:10">
      <c r="F1262" s="22"/>
      <c r="J1262" s="25" t="str">
        <f t="shared" si="35"/>
        <v/>
      </c>
    </row>
    <row r="1263" spans="6:10">
      <c r="F1263" s="22"/>
      <c r="J1263" s="25" t="str">
        <f t="shared" si="35"/>
        <v/>
      </c>
    </row>
    <row r="1264" spans="6:10">
      <c r="F1264" s="22"/>
      <c r="J1264" s="25" t="str">
        <f t="shared" si="35"/>
        <v/>
      </c>
    </row>
    <row r="1265" spans="6:10">
      <c r="F1265" s="22"/>
      <c r="J1265" s="25" t="str">
        <f t="shared" si="35"/>
        <v/>
      </c>
    </row>
    <row r="1266" spans="6:10">
      <c r="F1266" s="22"/>
      <c r="J1266" s="25" t="str">
        <f t="shared" si="35"/>
        <v/>
      </c>
    </row>
    <row r="1267" spans="6:10">
      <c r="F1267" s="22"/>
      <c r="J1267" s="25" t="str">
        <f t="shared" si="35"/>
        <v/>
      </c>
    </row>
    <row r="1268" spans="6:10">
      <c r="F1268" s="22"/>
      <c r="J1268" s="25" t="str">
        <f t="shared" si="35"/>
        <v/>
      </c>
    </row>
    <row r="1269" spans="6:10">
      <c r="F1269" s="22"/>
      <c r="J1269" s="25" t="str">
        <f t="shared" si="35"/>
        <v/>
      </c>
    </row>
    <row r="1270" spans="6:10">
      <c r="F1270" s="22"/>
      <c r="J1270" s="25" t="str">
        <f t="shared" si="35"/>
        <v/>
      </c>
    </row>
    <row r="1271" spans="6:10">
      <c r="F1271" s="22"/>
      <c r="J1271" s="25" t="str">
        <f t="shared" si="35"/>
        <v/>
      </c>
    </row>
    <row r="1272" spans="6:10">
      <c r="F1272" s="22"/>
      <c r="J1272" s="25" t="str">
        <f t="shared" si="35"/>
        <v/>
      </c>
    </row>
    <row r="1273" spans="6:10">
      <c r="F1273" s="22"/>
      <c r="J1273" s="25" t="str">
        <f t="shared" si="35"/>
        <v/>
      </c>
    </row>
    <row r="1274" spans="6:10">
      <c r="F1274" s="22"/>
      <c r="J1274" s="25" t="str">
        <f t="shared" si="35"/>
        <v/>
      </c>
    </row>
    <row r="1275" spans="6:10">
      <c r="F1275" s="22"/>
      <c r="J1275" s="25" t="str">
        <f t="shared" si="35"/>
        <v/>
      </c>
    </row>
    <row r="1276" spans="6:10">
      <c r="F1276" s="22"/>
      <c r="J1276" s="25" t="str">
        <f t="shared" si="35"/>
        <v/>
      </c>
    </row>
    <row r="1277" spans="6:10">
      <c r="F1277" s="22"/>
      <c r="J1277" s="25" t="str">
        <f t="shared" si="35"/>
        <v/>
      </c>
    </row>
    <row r="1278" spans="6:10">
      <c r="F1278" s="22"/>
      <c r="J1278" s="25" t="str">
        <f t="shared" si="35"/>
        <v/>
      </c>
    </row>
    <row r="1279" spans="6:10">
      <c r="F1279" s="22"/>
      <c r="J1279" s="25" t="str">
        <f t="shared" si="35"/>
        <v/>
      </c>
    </row>
    <row r="1280" spans="6:10">
      <c r="F1280" s="22"/>
      <c r="J1280" s="25" t="str">
        <f t="shared" si="35"/>
        <v/>
      </c>
    </row>
    <row r="1281" spans="6:10">
      <c r="F1281" s="22"/>
      <c r="J1281" s="25" t="str">
        <f t="shared" si="35"/>
        <v/>
      </c>
    </row>
    <row r="1282" spans="6:10">
      <c r="F1282" s="22"/>
      <c r="J1282" s="25" t="str">
        <f t="shared" si="35"/>
        <v/>
      </c>
    </row>
    <row r="1283" spans="6:10">
      <c r="F1283" s="22"/>
      <c r="J1283" s="25" t="str">
        <f t="shared" si="35"/>
        <v/>
      </c>
    </row>
    <row r="1284" spans="6:10">
      <c r="F1284" s="22"/>
      <c r="J1284" s="25" t="str">
        <f t="shared" si="35"/>
        <v/>
      </c>
    </row>
    <row r="1285" spans="6:10">
      <c r="F1285" s="22"/>
      <c r="J1285" s="25" t="str">
        <f t="shared" si="35"/>
        <v/>
      </c>
    </row>
    <row r="1286" spans="6:10">
      <c r="F1286" s="22"/>
      <c r="J1286" s="25" t="str">
        <f t="shared" si="35"/>
        <v/>
      </c>
    </row>
    <row r="1287" spans="6:10">
      <c r="F1287" s="22"/>
      <c r="J1287" s="25" t="str">
        <f t="shared" si="35"/>
        <v/>
      </c>
    </row>
    <row r="1288" spans="6:10">
      <c r="F1288" s="22"/>
      <c r="J1288" s="25" t="str">
        <f t="shared" si="35"/>
        <v/>
      </c>
    </row>
    <row r="1289" spans="6:10">
      <c r="F1289" s="22"/>
      <c r="J1289" s="25" t="str">
        <f t="shared" si="35"/>
        <v/>
      </c>
    </row>
    <row r="1290" spans="6:10">
      <c r="F1290" s="22"/>
      <c r="J1290" s="25" t="str">
        <f t="shared" si="35"/>
        <v/>
      </c>
    </row>
    <row r="1291" spans="6:10">
      <c r="F1291" s="22"/>
      <c r="J1291" s="25" t="str">
        <f t="shared" si="35"/>
        <v/>
      </c>
    </row>
    <row r="1292" spans="6:10">
      <c r="F1292" s="22"/>
      <c r="J1292" s="25" t="str">
        <f t="shared" si="35"/>
        <v/>
      </c>
    </row>
    <row r="1293" spans="6:10">
      <c r="F1293" s="22"/>
      <c r="J1293" s="25" t="str">
        <f t="shared" ref="J1293:J1305" si="36">IF(D1293&lt;&gt;"",D1293,"")</f>
        <v/>
      </c>
    </row>
    <row r="1294" spans="6:10">
      <c r="F1294" s="22"/>
      <c r="J1294" s="25" t="str">
        <f t="shared" si="36"/>
        <v/>
      </c>
    </row>
    <row r="1295" spans="6:10">
      <c r="F1295" s="22"/>
      <c r="J1295" s="25" t="str">
        <f t="shared" si="36"/>
        <v/>
      </c>
    </row>
    <row r="1296" spans="6:10">
      <c r="F1296" s="22"/>
      <c r="J1296" s="25" t="str">
        <f t="shared" si="36"/>
        <v/>
      </c>
    </row>
    <row r="1297" spans="6:10">
      <c r="F1297" s="22"/>
      <c r="J1297" s="25" t="str">
        <f t="shared" si="36"/>
        <v/>
      </c>
    </row>
    <row r="1298" spans="6:10">
      <c r="F1298" s="22"/>
      <c r="J1298" s="25" t="str">
        <f t="shared" si="36"/>
        <v/>
      </c>
    </row>
    <row r="1299" spans="6:10">
      <c r="F1299" s="22"/>
      <c r="J1299" s="25" t="str">
        <f t="shared" si="36"/>
        <v/>
      </c>
    </row>
    <row r="1300" spans="6:10">
      <c r="F1300" s="22"/>
      <c r="J1300" s="25" t="str">
        <f t="shared" si="36"/>
        <v/>
      </c>
    </row>
    <row r="1301" spans="6:10">
      <c r="F1301" s="22"/>
      <c r="J1301" s="25" t="str">
        <f t="shared" si="36"/>
        <v/>
      </c>
    </row>
    <row r="1302" spans="6:10">
      <c r="F1302" s="22"/>
      <c r="J1302" s="25" t="str">
        <f t="shared" si="36"/>
        <v/>
      </c>
    </row>
    <row r="1303" spans="6:10">
      <c r="F1303" s="22"/>
      <c r="J1303" s="25" t="str">
        <f t="shared" si="36"/>
        <v/>
      </c>
    </row>
    <row r="1304" spans="6:10">
      <c r="F1304" s="22"/>
      <c r="J1304" s="25" t="str">
        <f t="shared" si="36"/>
        <v/>
      </c>
    </row>
    <row r="1305" spans="6:10">
      <c r="F1305" s="22"/>
      <c r="J1305" s="25" t="str">
        <f t="shared" si="36"/>
        <v/>
      </c>
    </row>
    <row r="1306" spans="6:10">
      <c r="F1306" s="22"/>
    </row>
    <row r="1307" spans="6:10">
      <c r="F1307" s="22"/>
    </row>
    <row r="1308" spans="6:10">
      <c r="F1308" s="22"/>
    </row>
    <row r="1309" spans="6:10">
      <c r="F1309" s="22"/>
    </row>
    <row r="1310" spans="6:10">
      <c r="F1310" s="22"/>
    </row>
    <row r="1311" spans="6:10">
      <c r="F1311" s="22"/>
    </row>
    <row r="1312" spans="6:10">
      <c r="F1312" s="22"/>
    </row>
    <row r="1313" spans="6:6">
      <c r="F1313" s="22"/>
    </row>
    <row r="1314" spans="6:6">
      <c r="F1314" s="22"/>
    </row>
    <row r="1315" spans="6:6">
      <c r="F1315" s="22"/>
    </row>
    <row r="1316" spans="6:6">
      <c r="F1316" s="22"/>
    </row>
    <row r="1317" spans="6:6">
      <c r="F1317" s="22"/>
    </row>
    <row r="1318" spans="6:6">
      <c r="F1318" s="22"/>
    </row>
    <row r="1319" spans="6:6">
      <c r="F1319" s="22"/>
    </row>
    <row r="1320" spans="6:6">
      <c r="F1320" s="22"/>
    </row>
    <row r="1321" spans="6:6">
      <c r="F1321" s="22"/>
    </row>
    <row r="1322" spans="6:6">
      <c r="F1322" s="22"/>
    </row>
    <row r="1323" spans="6:6">
      <c r="F1323" s="22"/>
    </row>
    <row r="1324" spans="6:6">
      <c r="F1324" s="22"/>
    </row>
    <row r="1325" spans="6:6">
      <c r="F1325" s="22"/>
    </row>
    <row r="1326" spans="6:6">
      <c r="F1326" s="22"/>
    </row>
    <row r="1327" spans="6:6">
      <c r="F1327" s="22"/>
    </row>
    <row r="1328" spans="6:6">
      <c r="F1328" s="22"/>
    </row>
    <row r="1329" spans="6:6">
      <c r="F1329" s="22"/>
    </row>
    <row r="1330" spans="6:6">
      <c r="F1330" s="22"/>
    </row>
    <row r="1331" spans="6:6">
      <c r="F1331" s="22"/>
    </row>
    <row r="1332" spans="6:6">
      <c r="F1332" s="22"/>
    </row>
    <row r="1333" spans="6:6">
      <c r="F1333" s="22"/>
    </row>
    <row r="1334" spans="6:6">
      <c r="F1334" s="22"/>
    </row>
    <row r="1335" spans="6:6">
      <c r="F1335" s="22"/>
    </row>
    <row r="1336" spans="6:6">
      <c r="F1336" s="22"/>
    </row>
    <row r="1337" spans="6:6">
      <c r="F1337" s="22"/>
    </row>
    <row r="1338" spans="6:6">
      <c r="F1338" s="22"/>
    </row>
    <row r="1339" spans="6:6">
      <c r="F1339" s="22"/>
    </row>
    <row r="1340" spans="6:6">
      <c r="F1340" s="22"/>
    </row>
    <row r="1341" spans="6:6">
      <c r="F1341" s="22"/>
    </row>
    <row r="1342" spans="6:6">
      <c r="F1342" s="22"/>
    </row>
    <row r="1343" spans="6:6">
      <c r="F1343" s="22"/>
    </row>
    <row r="1344" spans="6:6">
      <c r="F1344" s="22"/>
    </row>
    <row r="1345" spans="6:6">
      <c r="F1345" s="22"/>
    </row>
    <row r="1346" spans="6:6">
      <c r="F1346" s="22"/>
    </row>
    <row r="1347" spans="6:6">
      <c r="F1347" s="22"/>
    </row>
    <row r="1348" spans="6:6">
      <c r="F1348" s="22"/>
    </row>
    <row r="1349" spans="6:6">
      <c r="F1349" s="22"/>
    </row>
    <row r="1350" spans="6:6">
      <c r="F1350" s="22"/>
    </row>
    <row r="1351" spans="6:6">
      <c r="F1351" s="22"/>
    </row>
    <row r="1352" spans="6:6">
      <c r="F1352" s="22"/>
    </row>
    <row r="1353" spans="6:6">
      <c r="F1353" s="22"/>
    </row>
    <row r="1354" spans="6:6">
      <c r="F1354" s="22"/>
    </row>
    <row r="1355" spans="6:6">
      <c r="F1355" s="22"/>
    </row>
    <row r="1356" spans="6:6">
      <c r="F1356" s="22"/>
    </row>
    <row r="1357" spans="6:6">
      <c r="F1357" s="22"/>
    </row>
    <row r="1358" spans="6:6">
      <c r="F1358" s="22"/>
    </row>
    <row r="1359" spans="6:6">
      <c r="F1359" s="22"/>
    </row>
    <row r="1360" spans="6:6">
      <c r="F1360" s="22"/>
    </row>
    <row r="1361" spans="6:6">
      <c r="F1361" s="22"/>
    </row>
    <row r="1362" spans="6:6">
      <c r="F1362" s="22"/>
    </row>
    <row r="1363" spans="6:6">
      <c r="F1363" s="22"/>
    </row>
    <row r="1364" spans="6:6">
      <c r="F1364" s="22"/>
    </row>
    <row r="1365" spans="6:6">
      <c r="F1365" s="22"/>
    </row>
    <row r="1366" spans="6:6">
      <c r="F1366" s="22"/>
    </row>
    <row r="1367" spans="6:6">
      <c r="F1367" s="22"/>
    </row>
    <row r="1368" spans="6:6">
      <c r="F1368" s="22"/>
    </row>
    <row r="1369" spans="6:6">
      <c r="F1369" s="22"/>
    </row>
    <row r="1370" spans="6:6">
      <c r="F1370" s="22"/>
    </row>
    <row r="1371" spans="6:6">
      <c r="F1371" s="22"/>
    </row>
    <row r="1372" spans="6:6">
      <c r="F1372" s="22"/>
    </row>
    <row r="1373" spans="6:6">
      <c r="F1373" s="22"/>
    </row>
    <row r="1374" spans="6:6">
      <c r="F1374" s="22"/>
    </row>
    <row r="1375" spans="6:6">
      <c r="F1375" s="22"/>
    </row>
    <row r="1376" spans="6:6">
      <c r="F1376" s="22"/>
    </row>
    <row r="1377" spans="6:6">
      <c r="F1377" s="22"/>
    </row>
    <row r="1378" spans="6:6">
      <c r="F1378" s="22"/>
    </row>
    <row r="1379" spans="6:6">
      <c r="F1379" s="22"/>
    </row>
    <row r="1380" spans="6:6">
      <c r="F1380" s="22"/>
    </row>
    <row r="1381" spans="6:6">
      <c r="F1381" s="22"/>
    </row>
  </sheetData>
  <mergeCells count="670">
    <mergeCell ref="A266:B266"/>
    <mergeCell ref="A267:B267"/>
    <mergeCell ref="A268:B268"/>
    <mergeCell ref="A269:B269"/>
    <mergeCell ref="A270:B270"/>
    <mergeCell ref="A261:B261"/>
    <mergeCell ref="A262:B262"/>
    <mergeCell ref="A263:B263"/>
    <mergeCell ref="A264:B264"/>
    <mergeCell ref="A265:B265"/>
    <mergeCell ref="A281:B281"/>
    <mergeCell ref="A282:B282"/>
    <mergeCell ref="A276:B276"/>
    <mergeCell ref="A277:B277"/>
    <mergeCell ref="A278:B278"/>
    <mergeCell ref="A279:B279"/>
    <mergeCell ref="A280:B280"/>
    <mergeCell ref="A271:B271"/>
    <mergeCell ref="A272:B272"/>
    <mergeCell ref="A273:B273"/>
    <mergeCell ref="A274:B274"/>
    <mergeCell ref="A275:B275"/>
    <mergeCell ref="A257:B257"/>
    <mergeCell ref="A258:B258"/>
    <mergeCell ref="A259:B259"/>
    <mergeCell ref="A260:B260"/>
    <mergeCell ref="A251:B251"/>
    <mergeCell ref="A252:B252"/>
    <mergeCell ref="A253:B253"/>
    <mergeCell ref="A254:B254"/>
    <mergeCell ref="A255:B255"/>
    <mergeCell ref="A256:B256"/>
    <mergeCell ref="A246:B246"/>
    <mergeCell ref="A247:B247"/>
    <mergeCell ref="A248:B248"/>
    <mergeCell ref="A249:B249"/>
    <mergeCell ref="A250:B250"/>
    <mergeCell ref="A241:B241"/>
    <mergeCell ref="A242:B242"/>
    <mergeCell ref="A243:B243"/>
    <mergeCell ref="A244:B244"/>
    <mergeCell ref="A245:B245"/>
    <mergeCell ref="A236:B236"/>
    <mergeCell ref="A237:B237"/>
    <mergeCell ref="A238:B238"/>
    <mergeCell ref="A239:B239"/>
    <mergeCell ref="A240:B240"/>
    <mergeCell ref="A231:B231"/>
    <mergeCell ref="A232:B232"/>
    <mergeCell ref="A233:B233"/>
    <mergeCell ref="A234:B234"/>
    <mergeCell ref="A235:B235"/>
    <mergeCell ref="A226:B226"/>
    <mergeCell ref="A227:B227"/>
    <mergeCell ref="A228:B228"/>
    <mergeCell ref="A229:B229"/>
    <mergeCell ref="A230:B230"/>
    <mergeCell ref="A221:B221"/>
    <mergeCell ref="A222:B222"/>
    <mergeCell ref="A223:B223"/>
    <mergeCell ref="A224:B224"/>
    <mergeCell ref="A225:B225"/>
    <mergeCell ref="A216:B216"/>
    <mergeCell ref="A217:B217"/>
    <mergeCell ref="A218:B218"/>
    <mergeCell ref="A219:B219"/>
    <mergeCell ref="A220:B220"/>
    <mergeCell ref="A211:B211"/>
    <mergeCell ref="A212:B212"/>
    <mergeCell ref="A213:B213"/>
    <mergeCell ref="A214:B214"/>
    <mergeCell ref="A215:B215"/>
    <mergeCell ref="A206:B206"/>
    <mergeCell ref="A207:B207"/>
    <mergeCell ref="A208:B208"/>
    <mergeCell ref="A209:B209"/>
    <mergeCell ref="A210:B210"/>
    <mergeCell ref="A201:B201"/>
    <mergeCell ref="A202:B202"/>
    <mergeCell ref="A203:B203"/>
    <mergeCell ref="A204:B204"/>
    <mergeCell ref="A205:B205"/>
    <mergeCell ref="A196:B196"/>
    <mergeCell ref="A197:B197"/>
    <mergeCell ref="A198:B198"/>
    <mergeCell ref="A199:B199"/>
    <mergeCell ref="A200:B200"/>
    <mergeCell ref="A191:B191"/>
    <mergeCell ref="A192:B192"/>
    <mergeCell ref="A193:B193"/>
    <mergeCell ref="A194:B194"/>
    <mergeCell ref="A195:B195"/>
    <mergeCell ref="A186:B186"/>
    <mergeCell ref="A187:B187"/>
    <mergeCell ref="A188:B188"/>
    <mergeCell ref="A189:B189"/>
    <mergeCell ref="A190:B190"/>
    <mergeCell ref="A181:B181"/>
    <mergeCell ref="A182:B182"/>
    <mergeCell ref="A183:B183"/>
    <mergeCell ref="A184:B184"/>
    <mergeCell ref="A185:B185"/>
    <mergeCell ref="A176:B176"/>
    <mergeCell ref="A177:B177"/>
    <mergeCell ref="A178:B178"/>
    <mergeCell ref="A179:B179"/>
    <mergeCell ref="A180:B180"/>
    <mergeCell ref="A171:B171"/>
    <mergeCell ref="A172:B172"/>
    <mergeCell ref="A173:B173"/>
    <mergeCell ref="A174:B174"/>
    <mergeCell ref="A175:B175"/>
    <mergeCell ref="A166:B166"/>
    <mergeCell ref="A167:B167"/>
    <mergeCell ref="A168:B168"/>
    <mergeCell ref="A169:B169"/>
    <mergeCell ref="A170:B170"/>
    <mergeCell ref="A161:B161"/>
    <mergeCell ref="A162:B162"/>
    <mergeCell ref="A163:B163"/>
    <mergeCell ref="A164:B164"/>
    <mergeCell ref="A165:B165"/>
    <mergeCell ref="A156:B156"/>
    <mergeCell ref="A157:B157"/>
    <mergeCell ref="A158:B158"/>
    <mergeCell ref="A159:B159"/>
    <mergeCell ref="A160:B160"/>
    <mergeCell ref="A151:B151"/>
    <mergeCell ref="A152:B152"/>
    <mergeCell ref="A153:B153"/>
    <mergeCell ref="A154:B154"/>
    <mergeCell ref="A155:B155"/>
    <mergeCell ref="A146:B146"/>
    <mergeCell ref="A147:B147"/>
    <mergeCell ref="A148:B148"/>
    <mergeCell ref="A149:B149"/>
    <mergeCell ref="A150:B150"/>
    <mergeCell ref="A141:B141"/>
    <mergeCell ref="A142:B142"/>
    <mergeCell ref="A143:B143"/>
    <mergeCell ref="A144:B144"/>
    <mergeCell ref="A145:B145"/>
    <mergeCell ref="A136:B136"/>
    <mergeCell ref="A137:B137"/>
    <mergeCell ref="A138:B138"/>
    <mergeCell ref="A139:B139"/>
    <mergeCell ref="A140:B140"/>
    <mergeCell ref="A131:B131"/>
    <mergeCell ref="A132:B132"/>
    <mergeCell ref="A133:B133"/>
    <mergeCell ref="A134:B134"/>
    <mergeCell ref="A135:B135"/>
    <mergeCell ref="A126:B126"/>
    <mergeCell ref="A127:B127"/>
    <mergeCell ref="A128:B128"/>
    <mergeCell ref="A129:B129"/>
    <mergeCell ref="A130:B130"/>
    <mergeCell ref="A121:B121"/>
    <mergeCell ref="A122:B122"/>
    <mergeCell ref="A123:B123"/>
    <mergeCell ref="A124:B124"/>
    <mergeCell ref="A125:B125"/>
    <mergeCell ref="A116:B116"/>
    <mergeCell ref="A117:B117"/>
    <mergeCell ref="A118:B118"/>
    <mergeCell ref="A119:B119"/>
    <mergeCell ref="A120:B120"/>
    <mergeCell ref="A111:B111"/>
    <mergeCell ref="A112:B112"/>
    <mergeCell ref="A113:B113"/>
    <mergeCell ref="A114:B114"/>
    <mergeCell ref="A115:B115"/>
    <mergeCell ref="A106:B106"/>
    <mergeCell ref="A107:B107"/>
    <mergeCell ref="A108:B108"/>
    <mergeCell ref="A109:B109"/>
    <mergeCell ref="A110:B110"/>
    <mergeCell ref="A101:B101"/>
    <mergeCell ref="A102:B102"/>
    <mergeCell ref="A103:B103"/>
    <mergeCell ref="A104:B104"/>
    <mergeCell ref="A105:B105"/>
    <mergeCell ref="A96:B96"/>
    <mergeCell ref="A97:B97"/>
    <mergeCell ref="A98:B98"/>
    <mergeCell ref="A99:B99"/>
    <mergeCell ref="A100:B100"/>
    <mergeCell ref="A91:B91"/>
    <mergeCell ref="A92:B92"/>
    <mergeCell ref="A93:B93"/>
    <mergeCell ref="A94:B94"/>
    <mergeCell ref="A95:B95"/>
    <mergeCell ref="A86:B86"/>
    <mergeCell ref="A87:B87"/>
    <mergeCell ref="A88:B88"/>
    <mergeCell ref="A89:B89"/>
    <mergeCell ref="A90:B90"/>
    <mergeCell ref="A81:B81"/>
    <mergeCell ref="A82:B82"/>
    <mergeCell ref="A83:B83"/>
    <mergeCell ref="A84:B84"/>
    <mergeCell ref="A85:B85"/>
    <mergeCell ref="A76:B76"/>
    <mergeCell ref="A77:B77"/>
    <mergeCell ref="A78:B78"/>
    <mergeCell ref="A79:B79"/>
    <mergeCell ref="A80:B80"/>
    <mergeCell ref="A71:B71"/>
    <mergeCell ref="A72:B72"/>
    <mergeCell ref="A73:B73"/>
    <mergeCell ref="A74:B74"/>
    <mergeCell ref="A75:B75"/>
    <mergeCell ref="A66:B66"/>
    <mergeCell ref="A67:B67"/>
    <mergeCell ref="A68:B68"/>
    <mergeCell ref="A69:B69"/>
    <mergeCell ref="A70:B70"/>
    <mergeCell ref="A61:B61"/>
    <mergeCell ref="A62:B62"/>
    <mergeCell ref="A63:B63"/>
    <mergeCell ref="A64:B64"/>
    <mergeCell ref="A65:B65"/>
    <mergeCell ref="A56:B56"/>
    <mergeCell ref="A57:B57"/>
    <mergeCell ref="A58:B58"/>
    <mergeCell ref="A59:B59"/>
    <mergeCell ref="A60:B60"/>
    <mergeCell ref="A51:B51"/>
    <mergeCell ref="A52:B52"/>
    <mergeCell ref="A53:B53"/>
    <mergeCell ref="A54:B54"/>
    <mergeCell ref="A55:B55"/>
    <mergeCell ref="A39:B39"/>
    <mergeCell ref="A48:B48"/>
    <mergeCell ref="A49:B49"/>
    <mergeCell ref="A50:B50"/>
    <mergeCell ref="A42:B42"/>
    <mergeCell ref="A46:B46"/>
    <mergeCell ref="A44:B44"/>
    <mergeCell ref="A45:B45"/>
    <mergeCell ref="A43:B43"/>
    <mergeCell ref="A41:B41"/>
    <mergeCell ref="A47:B47"/>
    <mergeCell ref="A14:B14"/>
    <mergeCell ref="A26:B26"/>
    <mergeCell ref="A27:B27"/>
    <mergeCell ref="A15:B15"/>
    <mergeCell ref="A16:B16"/>
    <mergeCell ref="A17:B17"/>
    <mergeCell ref="A18:B18"/>
    <mergeCell ref="A40:B40"/>
    <mergeCell ref="A28:B28"/>
    <mergeCell ref="A29:B29"/>
    <mergeCell ref="A30:B30"/>
    <mergeCell ref="A21:B21"/>
    <mergeCell ref="A22:B22"/>
    <mergeCell ref="A23:B23"/>
    <mergeCell ref="A24:B24"/>
    <mergeCell ref="A25:B25"/>
    <mergeCell ref="A31:B31"/>
    <mergeCell ref="A32:B32"/>
    <mergeCell ref="A33:B33"/>
    <mergeCell ref="A34:B34"/>
    <mergeCell ref="A35:B35"/>
    <mergeCell ref="A36:B36"/>
    <mergeCell ref="A37:B37"/>
    <mergeCell ref="A38:B38"/>
    <mergeCell ref="A283:B283"/>
    <mergeCell ref="A284:B284"/>
    <mergeCell ref="D6:H6"/>
    <mergeCell ref="D7:H7"/>
    <mergeCell ref="D8:H8"/>
    <mergeCell ref="A11:B11"/>
    <mergeCell ref="A2:C2"/>
    <mergeCell ref="A3:C3"/>
    <mergeCell ref="A9:C9"/>
    <mergeCell ref="A10:C10"/>
    <mergeCell ref="A7:C7"/>
    <mergeCell ref="A8:C8"/>
    <mergeCell ref="A4:C4"/>
    <mergeCell ref="A5:C5"/>
    <mergeCell ref="A6:C6"/>
    <mergeCell ref="D10:H10"/>
    <mergeCell ref="D2:H2"/>
    <mergeCell ref="D3:H3"/>
    <mergeCell ref="D4:H4"/>
    <mergeCell ref="D5:H5"/>
    <mergeCell ref="A19:B19"/>
    <mergeCell ref="A20:B20"/>
    <mergeCell ref="A12:B12"/>
    <mergeCell ref="A13:B13"/>
    <mergeCell ref="A285:B285"/>
    <mergeCell ref="A286:B286"/>
    <mergeCell ref="A287:B287"/>
    <mergeCell ref="A288:B288"/>
    <mergeCell ref="A289:B289"/>
    <mergeCell ref="A290:B290"/>
    <mergeCell ref="A291:B291"/>
    <mergeCell ref="A292:B292"/>
    <mergeCell ref="A293:B293"/>
    <mergeCell ref="A294:B294"/>
    <mergeCell ref="A295:B295"/>
    <mergeCell ref="A296:B296"/>
    <mergeCell ref="A297:B297"/>
    <mergeCell ref="A298:B298"/>
    <mergeCell ref="A299:B299"/>
    <mergeCell ref="A300:B300"/>
    <mergeCell ref="A301:B301"/>
    <mergeCell ref="A302:B302"/>
    <mergeCell ref="A303:B303"/>
    <mergeCell ref="A304:B304"/>
    <mergeCell ref="A305:B305"/>
    <mergeCell ref="A306:B306"/>
    <mergeCell ref="A307:B307"/>
    <mergeCell ref="A308:B308"/>
    <mergeCell ref="A309:B309"/>
    <mergeCell ref="A310:B310"/>
    <mergeCell ref="A311:B311"/>
    <mergeCell ref="A312:B312"/>
    <mergeCell ref="A313:B313"/>
    <mergeCell ref="A314:B314"/>
    <mergeCell ref="A315:B315"/>
    <mergeCell ref="A316:B316"/>
    <mergeCell ref="A317:B317"/>
    <mergeCell ref="A318:B318"/>
    <mergeCell ref="A319:B319"/>
    <mergeCell ref="A320:B320"/>
    <mergeCell ref="A321:B321"/>
    <mergeCell ref="A322:B322"/>
    <mergeCell ref="A323:B323"/>
    <mergeCell ref="A324:B324"/>
    <mergeCell ref="A325:B325"/>
    <mergeCell ref="A326:B326"/>
    <mergeCell ref="A327:B327"/>
    <mergeCell ref="A328:B328"/>
    <mergeCell ref="A329:B329"/>
    <mergeCell ref="A330:B330"/>
    <mergeCell ref="A331:B331"/>
    <mergeCell ref="A332:B332"/>
    <mergeCell ref="A333:B333"/>
    <mergeCell ref="A334:B334"/>
    <mergeCell ref="A335:B335"/>
    <mergeCell ref="A336:B336"/>
    <mergeCell ref="A337:B337"/>
    <mergeCell ref="A338:B338"/>
    <mergeCell ref="A339:B339"/>
    <mergeCell ref="A340:B340"/>
    <mergeCell ref="A341:B341"/>
    <mergeCell ref="A342:B342"/>
    <mergeCell ref="A343:B343"/>
    <mergeCell ref="A344:B344"/>
    <mergeCell ref="A345:B345"/>
    <mergeCell ref="A346:B346"/>
    <mergeCell ref="A347:B347"/>
    <mergeCell ref="A348:B348"/>
    <mergeCell ref="A349:B349"/>
    <mergeCell ref="A350:B350"/>
    <mergeCell ref="A351:B351"/>
    <mergeCell ref="A352:B352"/>
    <mergeCell ref="A353:B353"/>
    <mergeCell ref="A354:B354"/>
    <mergeCell ref="A355:B355"/>
    <mergeCell ref="A356:B356"/>
    <mergeCell ref="A357:B357"/>
    <mergeCell ref="A358:B358"/>
    <mergeCell ref="A359:B359"/>
    <mergeCell ref="A360:B360"/>
    <mergeCell ref="A361:B361"/>
    <mergeCell ref="A362:B362"/>
    <mergeCell ref="A363:B363"/>
    <mergeCell ref="A364:B364"/>
    <mergeCell ref="A365:B365"/>
    <mergeCell ref="A366:B366"/>
    <mergeCell ref="A367:B367"/>
    <mergeCell ref="A368:B368"/>
    <mergeCell ref="A369:B369"/>
    <mergeCell ref="A370:B370"/>
    <mergeCell ref="A371:B371"/>
    <mergeCell ref="A372:B372"/>
    <mergeCell ref="A373:B373"/>
    <mergeCell ref="A374:B374"/>
    <mergeCell ref="A375:B375"/>
    <mergeCell ref="A376:B376"/>
    <mergeCell ref="A377:B377"/>
    <mergeCell ref="A378:B378"/>
    <mergeCell ref="A379:B379"/>
    <mergeCell ref="A380:B380"/>
    <mergeCell ref="A381:B381"/>
    <mergeCell ref="A382:B382"/>
    <mergeCell ref="A383:B383"/>
    <mergeCell ref="A384:B384"/>
    <mergeCell ref="A385:B385"/>
    <mergeCell ref="A386:B386"/>
    <mergeCell ref="A387:B387"/>
    <mergeCell ref="A388:B388"/>
    <mergeCell ref="A389:B389"/>
    <mergeCell ref="A390:B390"/>
    <mergeCell ref="A391:B391"/>
    <mergeCell ref="A392:B392"/>
    <mergeCell ref="A393:B393"/>
    <mergeCell ref="A394:B394"/>
    <mergeCell ref="A395:B395"/>
    <mergeCell ref="A396:B396"/>
    <mergeCell ref="A397:B397"/>
    <mergeCell ref="A398:B398"/>
    <mergeCell ref="A399:B399"/>
    <mergeCell ref="A400:B400"/>
    <mergeCell ref="A401:B401"/>
    <mergeCell ref="A402:B402"/>
    <mergeCell ref="A403:B403"/>
    <mergeCell ref="A404:B404"/>
    <mergeCell ref="A405:B405"/>
    <mergeCell ref="A406:B406"/>
    <mergeCell ref="A407:B407"/>
    <mergeCell ref="A408:B408"/>
    <mergeCell ref="A409:B409"/>
    <mergeCell ref="A410:B410"/>
    <mergeCell ref="A411:B411"/>
    <mergeCell ref="A412:B412"/>
    <mergeCell ref="A413:B413"/>
    <mergeCell ref="A414:B414"/>
    <mergeCell ref="A415:B415"/>
    <mergeCell ref="A416:B416"/>
    <mergeCell ref="A417:B417"/>
    <mergeCell ref="A418:B418"/>
    <mergeCell ref="A419:B419"/>
    <mergeCell ref="A420:B420"/>
    <mergeCell ref="A421:B421"/>
    <mergeCell ref="A422:B422"/>
    <mergeCell ref="A423:B423"/>
    <mergeCell ref="A424:B424"/>
    <mergeCell ref="A425:B425"/>
    <mergeCell ref="A426:B426"/>
    <mergeCell ref="A427:B427"/>
    <mergeCell ref="A428:B428"/>
    <mergeCell ref="A429:B429"/>
    <mergeCell ref="A430:B430"/>
    <mergeCell ref="A431:B431"/>
    <mergeCell ref="A432:B432"/>
    <mergeCell ref="A433:B433"/>
    <mergeCell ref="A434:B434"/>
    <mergeCell ref="A435:B435"/>
    <mergeCell ref="A436:B436"/>
    <mergeCell ref="A437:B437"/>
    <mergeCell ref="A438:B438"/>
    <mergeCell ref="A439:B439"/>
    <mergeCell ref="A440:B440"/>
    <mergeCell ref="A441:B441"/>
    <mergeCell ref="A442:B442"/>
    <mergeCell ref="A443:B443"/>
    <mergeCell ref="A444:B444"/>
    <mergeCell ref="A445:B445"/>
    <mergeCell ref="A446:B446"/>
    <mergeCell ref="A447:B447"/>
    <mergeCell ref="A448:B448"/>
    <mergeCell ref="A449:B449"/>
    <mergeCell ref="A450:B450"/>
    <mergeCell ref="A451:B451"/>
    <mergeCell ref="A452:B452"/>
    <mergeCell ref="A453:B453"/>
    <mergeCell ref="A454:B454"/>
    <mergeCell ref="A455:B455"/>
    <mergeCell ref="A456:B456"/>
    <mergeCell ref="A457:B457"/>
    <mergeCell ref="A458:B458"/>
    <mergeCell ref="A459:B459"/>
    <mergeCell ref="A460:B460"/>
    <mergeCell ref="A461:B461"/>
    <mergeCell ref="A462:B462"/>
    <mergeCell ref="A463:B463"/>
    <mergeCell ref="A464:B464"/>
    <mergeCell ref="A465:B465"/>
    <mergeCell ref="A466:B466"/>
    <mergeCell ref="A467:B467"/>
    <mergeCell ref="A468:B468"/>
    <mergeCell ref="A469:B469"/>
    <mergeCell ref="A470:B470"/>
    <mergeCell ref="A471:B471"/>
    <mergeCell ref="A472:B472"/>
    <mergeCell ref="A473:B473"/>
    <mergeCell ref="A474:B474"/>
    <mergeCell ref="A475:B475"/>
    <mergeCell ref="A476:B476"/>
    <mergeCell ref="A477:B477"/>
    <mergeCell ref="A478:B478"/>
    <mergeCell ref="A479:B479"/>
    <mergeCell ref="A480:B480"/>
    <mergeCell ref="A481:B481"/>
    <mergeCell ref="A482:B482"/>
    <mergeCell ref="A483:B483"/>
    <mergeCell ref="A484:B484"/>
    <mergeCell ref="A485:B485"/>
    <mergeCell ref="A486:B486"/>
    <mergeCell ref="A487:B487"/>
    <mergeCell ref="A488:B488"/>
    <mergeCell ref="A489:B489"/>
    <mergeCell ref="A490:B490"/>
    <mergeCell ref="A491:B491"/>
    <mergeCell ref="A492:B492"/>
    <mergeCell ref="A493:B493"/>
    <mergeCell ref="A494:B494"/>
    <mergeCell ref="A495:B495"/>
    <mergeCell ref="A496:B496"/>
    <mergeCell ref="A497:B497"/>
    <mergeCell ref="A498:B498"/>
    <mergeCell ref="A499:B499"/>
    <mergeCell ref="A500:B500"/>
    <mergeCell ref="A501:B501"/>
    <mergeCell ref="A502:B502"/>
    <mergeCell ref="A503:B503"/>
    <mergeCell ref="A504:B504"/>
    <mergeCell ref="A505:B505"/>
    <mergeCell ref="A506:B506"/>
    <mergeCell ref="A507:B507"/>
    <mergeCell ref="A508:B508"/>
    <mergeCell ref="A509:B509"/>
    <mergeCell ref="A510:B510"/>
    <mergeCell ref="A511:B511"/>
    <mergeCell ref="A512:B512"/>
    <mergeCell ref="A513:B513"/>
    <mergeCell ref="A514:B514"/>
    <mergeCell ref="A515:B515"/>
    <mergeCell ref="A516:B516"/>
    <mergeCell ref="A517:B517"/>
    <mergeCell ref="A518:B518"/>
    <mergeCell ref="A519:B519"/>
    <mergeCell ref="A520:B520"/>
    <mergeCell ref="A521:B521"/>
    <mergeCell ref="A522:B522"/>
    <mergeCell ref="A523:B523"/>
    <mergeCell ref="A524:B524"/>
    <mergeCell ref="A525:B525"/>
    <mergeCell ref="A526:B526"/>
    <mergeCell ref="A527:B527"/>
    <mergeCell ref="A528:B528"/>
    <mergeCell ref="A529:B529"/>
    <mergeCell ref="A530:B530"/>
    <mergeCell ref="A531:B531"/>
    <mergeCell ref="A532:B532"/>
    <mergeCell ref="A533:B533"/>
    <mergeCell ref="A534:B534"/>
    <mergeCell ref="A535:B535"/>
    <mergeCell ref="A536:B536"/>
    <mergeCell ref="A537:B537"/>
    <mergeCell ref="A538:B538"/>
    <mergeCell ref="A539:B539"/>
    <mergeCell ref="A540:B540"/>
    <mergeCell ref="A541:B541"/>
    <mergeCell ref="A542:B542"/>
    <mergeCell ref="A543:B543"/>
    <mergeCell ref="A544:B544"/>
    <mergeCell ref="A545:B545"/>
    <mergeCell ref="A546:B546"/>
    <mergeCell ref="A547:B547"/>
    <mergeCell ref="A548:B548"/>
    <mergeCell ref="A549:B549"/>
    <mergeCell ref="A550:B550"/>
    <mergeCell ref="A551:B551"/>
    <mergeCell ref="A552:B552"/>
    <mergeCell ref="A553:B553"/>
    <mergeCell ref="A554:B554"/>
    <mergeCell ref="A555:B555"/>
    <mergeCell ref="A556:B556"/>
    <mergeCell ref="A557:B557"/>
    <mergeCell ref="A558:B558"/>
    <mergeCell ref="A559:B559"/>
    <mergeCell ref="A560:B560"/>
    <mergeCell ref="A561:B561"/>
    <mergeCell ref="A562:B562"/>
    <mergeCell ref="A563:B563"/>
    <mergeCell ref="A564:B564"/>
    <mergeCell ref="A565:B565"/>
    <mergeCell ref="A566:B566"/>
    <mergeCell ref="A567:B567"/>
    <mergeCell ref="A568:B568"/>
    <mergeCell ref="A569:B569"/>
    <mergeCell ref="A570:B570"/>
    <mergeCell ref="A571:B571"/>
    <mergeCell ref="A572:B572"/>
    <mergeCell ref="A573:B573"/>
    <mergeCell ref="A574:B574"/>
    <mergeCell ref="A575:B575"/>
    <mergeCell ref="A576:B576"/>
    <mergeCell ref="A577:B577"/>
    <mergeCell ref="A578:B578"/>
    <mergeCell ref="A579:B579"/>
    <mergeCell ref="A580:B580"/>
    <mergeCell ref="A581:B581"/>
    <mergeCell ref="A582:B582"/>
    <mergeCell ref="A583:B583"/>
    <mergeCell ref="A584:B584"/>
    <mergeCell ref="A585:B585"/>
    <mergeCell ref="A586:B586"/>
    <mergeCell ref="A587:B587"/>
    <mergeCell ref="A588:B588"/>
    <mergeCell ref="A589:B589"/>
    <mergeCell ref="A590:B590"/>
    <mergeCell ref="A591:B591"/>
    <mergeCell ref="A592:B592"/>
    <mergeCell ref="A593:B593"/>
    <mergeCell ref="A594:B594"/>
    <mergeCell ref="A595:B595"/>
    <mergeCell ref="A596:B596"/>
    <mergeCell ref="A597:B597"/>
    <mergeCell ref="A598:B598"/>
    <mergeCell ref="A599:B599"/>
    <mergeCell ref="A600:B600"/>
    <mergeCell ref="A601:B601"/>
    <mergeCell ref="A602:B602"/>
    <mergeCell ref="A603:B603"/>
    <mergeCell ref="A604:B604"/>
    <mergeCell ref="A605:B605"/>
    <mergeCell ref="A606:B606"/>
    <mergeCell ref="A607:B607"/>
    <mergeCell ref="A608:B608"/>
    <mergeCell ref="A638:B638"/>
    <mergeCell ref="A639:B639"/>
    <mergeCell ref="A640:B640"/>
    <mergeCell ref="A641:B641"/>
    <mergeCell ref="A642:B642"/>
    <mergeCell ref="A627:B627"/>
    <mergeCell ref="A628:B628"/>
    <mergeCell ref="A629:B629"/>
    <mergeCell ref="A630:B630"/>
    <mergeCell ref="A631:B631"/>
    <mergeCell ref="A632:B632"/>
    <mergeCell ref="A633:B633"/>
    <mergeCell ref="A634:B634"/>
    <mergeCell ref="A635:B635"/>
    <mergeCell ref="A636:B636"/>
    <mergeCell ref="A637:B637"/>
    <mergeCell ref="A625:B625"/>
    <mergeCell ref="A626:B626"/>
    <mergeCell ref="A609:B609"/>
    <mergeCell ref="A610:B610"/>
    <mergeCell ref="A611:B611"/>
    <mergeCell ref="A612:B612"/>
    <mergeCell ref="A613:B613"/>
    <mergeCell ref="A614:B614"/>
    <mergeCell ref="A615:B615"/>
    <mergeCell ref="A616:B616"/>
    <mergeCell ref="A617:B617"/>
    <mergeCell ref="A618:B618"/>
    <mergeCell ref="A619:B619"/>
    <mergeCell ref="A620:B620"/>
    <mergeCell ref="A621:B621"/>
    <mergeCell ref="A622:B622"/>
    <mergeCell ref="A623:B623"/>
    <mergeCell ref="A624:B624"/>
    <mergeCell ref="L8:N8"/>
    <mergeCell ref="D9:H9"/>
    <mergeCell ref="I9:K9"/>
    <mergeCell ref="L9:N9"/>
    <mergeCell ref="I10:K10"/>
    <mergeCell ref="L10:N10"/>
    <mergeCell ref="O2:O10"/>
    <mergeCell ref="A1:O1"/>
    <mergeCell ref="I2:K2"/>
    <mergeCell ref="L2:N2"/>
    <mergeCell ref="I3:K3"/>
    <mergeCell ref="L3:N3"/>
    <mergeCell ref="I4:K4"/>
    <mergeCell ref="L4:N4"/>
    <mergeCell ref="I5:K5"/>
    <mergeCell ref="L5:N5"/>
    <mergeCell ref="I6:K6"/>
    <mergeCell ref="L6:N6"/>
    <mergeCell ref="I7:K7"/>
    <mergeCell ref="L7:N7"/>
    <mergeCell ref="I8:K8"/>
  </mergeCells>
  <phoneticPr fontId="9" type="noConversion"/>
  <dataValidations count="4">
    <dataValidation type="list" allowBlank="1" showInputMessage="1" showErrorMessage="1" sqref="F1382:F65533 L12:L984">
      <formula1>"Scripts Issue, App Issue, Test Case Issue, Performance Issue,Data Issue"</formula1>
    </dataValidation>
    <dataValidation type="list" allowBlank="1" showInputMessage="1" showErrorMessage="1" sqref="D22 C12:C642">
      <formula1>"Passed,Failed"</formula1>
    </dataValidation>
    <dataValidation type="list" allowBlank="1" showInputMessage="1" showErrorMessage="1" sqref="J12:J1305">
      <formula1>"Passed,Failed,Warning"</formula1>
    </dataValidation>
    <dataValidation type="list" allowBlank="1" showInputMessage="1" showErrorMessage="1" sqref="F12:F1381">
      <formula1>"Environment Issue,Scripts Issue, App Issue, Test Case Issue, Performance Issue,Data Issue,Other Issue"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985"/>
  <sheetViews>
    <sheetView workbookViewId="0">
      <selection activeCell="A11" sqref="A11"/>
    </sheetView>
  </sheetViews>
  <sheetFormatPr defaultColWidth="9.140625" defaultRowHeight="15.75"/>
  <cols>
    <col min="1" max="1" width="50.28515625" style="29" customWidth="1"/>
    <col min="2" max="2" width="10.7109375" style="30" customWidth="1"/>
    <col min="3" max="3" width="11.7109375" style="30" customWidth="1"/>
    <col min="4" max="4" width="10.7109375" style="30" customWidth="1"/>
    <col min="5" max="5" width="21.85546875" style="30" customWidth="1"/>
    <col min="6" max="6" width="19.85546875" style="30" customWidth="1"/>
    <col min="7" max="7" width="42.85546875" style="29" customWidth="1"/>
    <col min="8" max="11" width="9.140625" style="29"/>
    <col min="12" max="12" width="9.140625" style="30"/>
    <col min="13" max="13" width="9.140625" style="8"/>
    <col min="14" max="15" width="9.140625" style="18"/>
    <col min="16" max="16384" width="9.140625" style="8"/>
  </cols>
  <sheetData>
    <row r="1" spans="1:9" ht="20.25">
      <c r="A1" s="148" t="s">
        <v>76</v>
      </c>
      <c r="B1" s="148"/>
      <c r="C1" s="148"/>
      <c r="D1" s="148"/>
      <c r="E1" s="148"/>
      <c r="F1" s="148"/>
      <c r="G1" s="148"/>
    </row>
    <row r="2" spans="1:9">
      <c r="A2" s="35" t="s">
        <v>86</v>
      </c>
      <c r="B2" s="161">
        <f>Summary!D2</f>
        <v>0</v>
      </c>
      <c r="C2" s="161"/>
      <c r="D2" s="161"/>
      <c r="E2" s="149"/>
      <c r="F2" s="149"/>
      <c r="G2" s="150" t="s">
        <v>206</v>
      </c>
    </row>
    <row r="3" spans="1:9">
      <c r="A3" s="36" t="s">
        <v>77</v>
      </c>
      <c r="B3" s="162">
        <f>Summary!D3</f>
        <v>0</v>
      </c>
      <c r="C3" s="162"/>
      <c r="D3" s="162"/>
      <c r="E3" s="153"/>
      <c r="F3" s="153"/>
      <c r="G3" s="151"/>
    </row>
    <row r="4" spans="1:9">
      <c r="A4" s="37" t="s">
        <v>78</v>
      </c>
      <c r="B4" s="163">
        <f>Summary!D4</f>
        <v>0</v>
      </c>
      <c r="C4" s="163"/>
      <c r="D4" s="163"/>
      <c r="E4" s="160"/>
      <c r="F4" s="160"/>
      <c r="G4" s="151"/>
    </row>
    <row r="5" spans="1:9">
      <c r="A5" s="38" t="s">
        <v>79</v>
      </c>
      <c r="B5" s="162">
        <f>Summary!D5</f>
        <v>0</v>
      </c>
      <c r="C5" s="162"/>
      <c r="D5" s="162"/>
      <c r="E5" s="153"/>
      <c r="F5" s="153"/>
      <c r="G5" s="151"/>
    </row>
    <row r="6" spans="1:9">
      <c r="A6" s="37" t="s">
        <v>207</v>
      </c>
      <c r="B6" s="163">
        <f>Summary!D6</f>
        <v>0</v>
      </c>
      <c r="C6" s="163"/>
      <c r="D6" s="163"/>
      <c r="E6" s="160"/>
      <c r="F6" s="160"/>
      <c r="G6" s="151"/>
    </row>
    <row r="7" spans="1:9">
      <c r="A7" s="38" t="s">
        <v>81</v>
      </c>
      <c r="B7" s="154" t="e">
        <f>Summary!D7</f>
        <v>#DIV/0!</v>
      </c>
      <c r="C7" s="154"/>
      <c r="D7" s="154"/>
      <c r="E7" s="159"/>
      <c r="F7" s="159"/>
      <c r="G7" s="151"/>
    </row>
    <row r="8" spans="1:9">
      <c r="A8" s="37" t="s">
        <v>211</v>
      </c>
      <c r="B8" s="156">
        <f>Summary!D9</f>
        <v>0</v>
      </c>
      <c r="C8" s="157"/>
      <c r="D8" s="157"/>
      <c r="E8" s="157"/>
      <c r="F8" s="158"/>
      <c r="G8" s="151"/>
    </row>
    <row r="9" spans="1:9">
      <c r="A9" s="38" t="s">
        <v>208</v>
      </c>
      <c r="B9" s="155">
        <f>Summary!D10</f>
        <v>0</v>
      </c>
      <c r="C9" s="155"/>
      <c r="D9" s="155"/>
      <c r="E9" s="31" t="s">
        <v>209</v>
      </c>
      <c r="F9" s="41">
        <f>Summary!L10</f>
        <v>0</v>
      </c>
      <c r="G9" s="152"/>
    </row>
    <row r="10" spans="1:9" ht="28.5">
      <c r="A10" s="33" t="s">
        <v>84</v>
      </c>
      <c r="B10" s="32" t="s">
        <v>210</v>
      </c>
      <c r="C10" s="32" t="s">
        <v>48</v>
      </c>
      <c r="D10" s="32" t="s">
        <v>1</v>
      </c>
      <c r="E10" s="33" t="s">
        <v>21</v>
      </c>
      <c r="F10" s="32" t="s">
        <v>22</v>
      </c>
      <c r="G10" s="34" t="s">
        <v>66</v>
      </c>
    </row>
    <row r="11" spans="1:9">
      <c r="A11" s="39" t="str">
        <f>IF(Summary!A12&lt;&gt;"",Summary!A12,"")</f>
        <v/>
      </c>
      <c r="B11" s="21" t="str">
        <f>IF(Summary!J12&lt;&gt;"",Summary!J12,"")</f>
        <v/>
      </c>
      <c r="C11" s="44" t="str">
        <f>IF(Summary!E12+Summary!H12&gt;0,Summary!E12+Summary!H12,"")</f>
        <v/>
      </c>
      <c r="D11" s="40" t="str">
        <f>IF(Summary!L12&lt;&gt;"",Summary!L12,"")</f>
        <v/>
      </c>
      <c r="E11" s="40" t="str">
        <f>IF(Summary!M12&lt;&gt;"",Summary!M12,"")</f>
        <v/>
      </c>
      <c r="F11" s="20" t="str">
        <f>IF(Summary!N12&lt;&gt;"",Summary!N12,"")</f>
        <v/>
      </c>
      <c r="G11" s="20" t="str">
        <f>IF(Summary!O12&lt;&gt;"",Summary!O12,"")</f>
        <v/>
      </c>
    </row>
    <row r="12" spans="1:9">
      <c r="A12" s="39" t="str">
        <f>IF(Summary!A13&lt;&gt;"",Summary!A13,"")</f>
        <v/>
      </c>
      <c r="B12" s="21" t="str">
        <f>IF(Summary!J13&lt;&gt;"",Summary!J13,"")</f>
        <v/>
      </c>
      <c r="C12" s="44" t="str">
        <f>IF(Summary!E13+Summary!H13&gt;0,Summary!E13+Summary!H13,"")</f>
        <v/>
      </c>
      <c r="D12" s="40" t="str">
        <f>IF(Summary!L13&lt;&gt;"",Summary!L13,"")</f>
        <v/>
      </c>
      <c r="E12" s="40" t="str">
        <f>IF(Summary!M13&lt;&gt;"",Summary!M13,"")</f>
        <v/>
      </c>
      <c r="F12" s="20" t="str">
        <f>IF(Summary!N13&lt;&gt;"",Summary!N13,"")</f>
        <v/>
      </c>
      <c r="G12" s="20" t="str">
        <f>IF(Summary!O13&lt;&gt;"",Summary!O13,"")</f>
        <v/>
      </c>
    </row>
    <row r="13" spans="1:9">
      <c r="A13" s="39" t="str">
        <f>IF(Summary!A14&lt;&gt;"",Summary!A14,"")</f>
        <v/>
      </c>
      <c r="B13" s="21" t="str">
        <f>IF(Summary!J14&lt;&gt;"",Summary!J14,"")</f>
        <v/>
      </c>
      <c r="C13" s="44" t="str">
        <f>IF(Summary!E14+Summary!H14&gt;0,Summary!E14+Summary!H14,"")</f>
        <v/>
      </c>
      <c r="D13" s="40" t="str">
        <f>IF(Summary!L14&lt;&gt;"",Summary!L14,"")</f>
        <v/>
      </c>
      <c r="E13" s="40" t="str">
        <f>IF(Summary!M14&lt;&gt;"",Summary!M14,"")</f>
        <v/>
      </c>
      <c r="F13" s="20" t="str">
        <f>IF(Summary!N14&lt;&gt;"",Summary!N14,"")</f>
        <v/>
      </c>
      <c r="G13" s="20" t="str">
        <f>IF(Summary!O14&lt;&gt;"",Summary!O14,"")</f>
        <v/>
      </c>
      <c r="I13" s="42"/>
    </row>
    <row r="14" spans="1:9">
      <c r="A14" s="39" t="str">
        <f>IF(Summary!A15&lt;&gt;"",Summary!A15,"")</f>
        <v/>
      </c>
      <c r="B14" s="21" t="str">
        <f>IF(Summary!J15&lt;&gt;"",Summary!J15,"")</f>
        <v/>
      </c>
      <c r="C14" s="44" t="str">
        <f>IF(Summary!E15+Summary!H15&gt;0,Summary!E15+Summary!H15,"")</f>
        <v/>
      </c>
      <c r="D14" s="40" t="str">
        <f>IF(Summary!L15&lt;&gt;"",Summary!L15,"")</f>
        <v/>
      </c>
      <c r="E14" s="40" t="str">
        <f>IF(Summary!M15&lt;&gt;"",Summary!M15,"")</f>
        <v/>
      </c>
      <c r="F14" s="20" t="str">
        <f>IF(Summary!N15&lt;&gt;"",Summary!N15,"")</f>
        <v/>
      </c>
      <c r="G14" s="20" t="str">
        <f>IF(Summary!O15&lt;&gt;"",Summary!O15,"")</f>
        <v/>
      </c>
    </row>
    <row r="15" spans="1:9">
      <c r="A15" s="39" t="str">
        <f>IF(Summary!A16&lt;&gt;"",Summary!A16,"")</f>
        <v/>
      </c>
      <c r="B15" s="21" t="str">
        <f>IF(Summary!J16&lt;&gt;"",Summary!J16,"")</f>
        <v/>
      </c>
      <c r="C15" s="44" t="str">
        <f>IF(Summary!E16+Summary!H16&gt;0,Summary!E16+Summary!H16,"")</f>
        <v/>
      </c>
      <c r="D15" s="40" t="str">
        <f>IF(Summary!L16&lt;&gt;"",Summary!L16,"")</f>
        <v/>
      </c>
      <c r="E15" s="40" t="str">
        <f>IF(Summary!M16&lt;&gt;"",Summary!M16,"")</f>
        <v/>
      </c>
      <c r="F15" s="20" t="str">
        <f>IF(Summary!N16&lt;&gt;"",Summary!N16,"")</f>
        <v/>
      </c>
      <c r="G15" s="20" t="str">
        <f>IF(Summary!O16&lt;&gt;"",Summary!O16,"")</f>
        <v/>
      </c>
    </row>
    <row r="16" spans="1:9">
      <c r="A16" s="39" t="str">
        <f>IF(Summary!A17&lt;&gt;"",Summary!A17,"")</f>
        <v/>
      </c>
      <c r="B16" s="21" t="str">
        <f>IF(Summary!J17&lt;&gt;"",Summary!J17,"")</f>
        <v/>
      </c>
      <c r="C16" s="44" t="str">
        <f>IF(Summary!E17+Summary!H17&gt;0,Summary!E17+Summary!H17,"")</f>
        <v/>
      </c>
      <c r="D16" s="40" t="str">
        <f>IF(Summary!L17&lt;&gt;"",Summary!L17,"")</f>
        <v/>
      </c>
      <c r="E16" s="40" t="str">
        <f>IF(Summary!M17&lt;&gt;"",Summary!M17,"")</f>
        <v/>
      </c>
      <c r="F16" s="20" t="str">
        <f>IF(Summary!N17&lt;&gt;"",Summary!N17,"")</f>
        <v/>
      </c>
      <c r="G16" s="20" t="str">
        <f>IF(Summary!O17&lt;&gt;"",Summary!O17,"")</f>
        <v/>
      </c>
    </row>
    <row r="17" spans="1:7">
      <c r="A17" s="39" t="str">
        <f>IF(Summary!A18&lt;&gt;"",Summary!A18,"")</f>
        <v/>
      </c>
      <c r="B17" s="21" t="str">
        <f>IF(Summary!J18&lt;&gt;"",Summary!J18,"")</f>
        <v/>
      </c>
      <c r="C17" s="44" t="str">
        <f>IF(Summary!E18+Summary!H18&gt;0,Summary!E18+Summary!H18,"")</f>
        <v/>
      </c>
      <c r="D17" s="40" t="str">
        <f>IF(Summary!L18&lt;&gt;"",Summary!L18,"")</f>
        <v/>
      </c>
      <c r="E17" s="40" t="str">
        <f>IF(Summary!M18&lt;&gt;"",Summary!M18,"")</f>
        <v/>
      </c>
      <c r="F17" s="20" t="str">
        <f>IF(Summary!N18&lt;&gt;"",Summary!N18,"")</f>
        <v/>
      </c>
      <c r="G17" s="20" t="str">
        <f>IF(Summary!O18&lt;&gt;"",Summary!O18,"")</f>
        <v/>
      </c>
    </row>
    <row r="18" spans="1:7">
      <c r="A18" s="39" t="str">
        <f>IF(Summary!A19&lt;&gt;"",Summary!A19,"")</f>
        <v/>
      </c>
      <c r="B18" s="21" t="str">
        <f>IF(Summary!J19&lt;&gt;"",Summary!J19,"")</f>
        <v/>
      </c>
      <c r="C18" s="44" t="str">
        <f>IF(Summary!E19+Summary!H19&gt;0,Summary!E19+Summary!H19,"")</f>
        <v/>
      </c>
      <c r="D18" s="40" t="str">
        <f>IF(Summary!L19&lt;&gt;"",Summary!L19,"")</f>
        <v/>
      </c>
      <c r="E18" s="40" t="str">
        <f>IF(Summary!M19&lt;&gt;"",Summary!M19,"")</f>
        <v/>
      </c>
      <c r="F18" s="20" t="str">
        <f>IF(Summary!N19&lt;&gt;"",Summary!N19,"")</f>
        <v/>
      </c>
      <c r="G18" s="20" t="str">
        <f>IF(Summary!O19&lt;&gt;"",Summary!O19,"")</f>
        <v/>
      </c>
    </row>
    <row r="19" spans="1:7">
      <c r="A19" s="39" t="str">
        <f>IF(Summary!A20&lt;&gt;"",Summary!A20,"")</f>
        <v/>
      </c>
      <c r="B19" s="21" t="str">
        <f>IF(Summary!J20&lt;&gt;"",Summary!J20,"")</f>
        <v/>
      </c>
      <c r="C19" s="44" t="str">
        <f>IF(Summary!E20+Summary!H20&gt;0,Summary!E20+Summary!H20,"")</f>
        <v/>
      </c>
      <c r="D19" s="40" t="str">
        <f>IF(Summary!L20&lt;&gt;"",Summary!L20,"")</f>
        <v/>
      </c>
      <c r="E19" s="40" t="str">
        <f>IF(Summary!M20&lt;&gt;"",Summary!M20,"")</f>
        <v/>
      </c>
      <c r="F19" s="20" t="str">
        <f>IF(Summary!N20&lt;&gt;"",Summary!N20,"")</f>
        <v/>
      </c>
      <c r="G19" s="20" t="str">
        <f>IF(Summary!O20&lt;&gt;"",Summary!O20,"")</f>
        <v/>
      </c>
    </row>
    <row r="20" spans="1:7">
      <c r="A20" s="39" t="str">
        <f>IF(Summary!A21&lt;&gt;"",Summary!A21,"")</f>
        <v/>
      </c>
      <c r="B20" s="21" t="str">
        <f>IF(Summary!J21&lt;&gt;"",Summary!J21,"")</f>
        <v/>
      </c>
      <c r="C20" s="44" t="str">
        <f>IF(Summary!E21+Summary!H21&gt;0,Summary!E21+Summary!H21,"")</f>
        <v/>
      </c>
      <c r="D20" s="40" t="str">
        <f>IF(Summary!L21&lt;&gt;"",Summary!L21,"")</f>
        <v/>
      </c>
      <c r="E20" s="40" t="str">
        <f>IF(Summary!M21&lt;&gt;"",Summary!M21,"")</f>
        <v/>
      </c>
      <c r="F20" s="20" t="str">
        <f>IF(Summary!N21&lt;&gt;"",Summary!N21,"")</f>
        <v/>
      </c>
      <c r="G20" s="20" t="str">
        <f>IF(Summary!O21&lt;&gt;"",Summary!O21,"")</f>
        <v/>
      </c>
    </row>
    <row r="21" spans="1:7">
      <c r="A21" s="39" t="str">
        <f>IF(Summary!A22&lt;&gt;"",Summary!A22,"")</f>
        <v/>
      </c>
      <c r="B21" s="21" t="str">
        <f>IF(Summary!J22&lt;&gt;"",Summary!J22,"")</f>
        <v/>
      </c>
      <c r="C21" s="44" t="str">
        <f>IF(Summary!E22+Summary!H22&gt;0,Summary!E22+Summary!H22,"")</f>
        <v/>
      </c>
      <c r="D21" s="40" t="str">
        <f>IF(Summary!L22&lt;&gt;"",Summary!L22,"")</f>
        <v/>
      </c>
      <c r="E21" s="40" t="str">
        <f>IF(Summary!M22&lt;&gt;"",Summary!M22,"")</f>
        <v/>
      </c>
      <c r="F21" s="20" t="str">
        <f>IF(Summary!N22&lt;&gt;"",Summary!N22,"")</f>
        <v/>
      </c>
      <c r="G21" s="20" t="str">
        <f>IF(Summary!O22&lt;&gt;"",Summary!O22,"")</f>
        <v/>
      </c>
    </row>
    <row r="22" spans="1:7">
      <c r="A22" s="39" t="str">
        <f>IF(Summary!A23&lt;&gt;"",Summary!A23,"")</f>
        <v/>
      </c>
      <c r="B22" s="21" t="str">
        <f>IF(Summary!J23&lt;&gt;"",Summary!J23,"")</f>
        <v/>
      </c>
      <c r="C22" s="44" t="str">
        <f>IF(Summary!E23+Summary!H23&gt;0,Summary!E23+Summary!H23,"")</f>
        <v/>
      </c>
      <c r="D22" s="40" t="str">
        <f>IF(Summary!L23&lt;&gt;"",Summary!L23,"")</f>
        <v/>
      </c>
      <c r="E22" s="40" t="str">
        <f>IF(Summary!M23&lt;&gt;"",Summary!M23,"")</f>
        <v/>
      </c>
      <c r="F22" s="20" t="str">
        <f>IF(Summary!N23&lt;&gt;"",Summary!N23,"")</f>
        <v/>
      </c>
      <c r="G22" s="20" t="str">
        <f>IF(Summary!O23&lt;&gt;"",Summary!O23,"")</f>
        <v/>
      </c>
    </row>
    <row r="23" spans="1:7">
      <c r="A23" s="39" t="str">
        <f>IF(Summary!A24&lt;&gt;"",Summary!A24,"")</f>
        <v/>
      </c>
      <c r="B23" s="21" t="str">
        <f>IF(Summary!J24&lt;&gt;"",Summary!J24,"")</f>
        <v/>
      </c>
      <c r="C23" s="44" t="str">
        <f>IF(Summary!E24+Summary!H24&gt;0,Summary!E24+Summary!H24,"")</f>
        <v/>
      </c>
      <c r="D23" s="40" t="str">
        <f>IF(Summary!L24&lt;&gt;"",Summary!L24,"")</f>
        <v/>
      </c>
      <c r="E23" s="40" t="str">
        <f>IF(Summary!M24&lt;&gt;"",Summary!M24,"")</f>
        <v/>
      </c>
      <c r="F23" s="20" t="str">
        <f>IF(Summary!N24&lt;&gt;"",Summary!N24,"")</f>
        <v/>
      </c>
      <c r="G23" s="20" t="str">
        <f>IF(Summary!O24&lt;&gt;"",Summary!O24,"")</f>
        <v/>
      </c>
    </row>
    <row r="24" spans="1:7">
      <c r="A24" s="39" t="str">
        <f>IF(Summary!A25&lt;&gt;"",Summary!A25,"")</f>
        <v/>
      </c>
      <c r="B24" s="21" t="str">
        <f>IF(Summary!J25&lt;&gt;"",Summary!J25,"")</f>
        <v/>
      </c>
      <c r="C24" s="44" t="str">
        <f>IF(Summary!E25+Summary!H25&gt;0,Summary!E25+Summary!H25,"")</f>
        <v/>
      </c>
      <c r="D24" s="40" t="str">
        <f>IF(Summary!L25&lt;&gt;"",Summary!L25,"")</f>
        <v/>
      </c>
      <c r="E24" s="40" t="str">
        <f>IF(Summary!M25&lt;&gt;"",Summary!M25,"")</f>
        <v/>
      </c>
      <c r="F24" s="20" t="str">
        <f>IF(Summary!N25&lt;&gt;"",Summary!N25,"")</f>
        <v/>
      </c>
      <c r="G24" s="20" t="str">
        <f>IF(Summary!O25&lt;&gt;"",Summary!O25,"")</f>
        <v/>
      </c>
    </row>
    <row r="25" spans="1:7">
      <c r="A25" s="39" t="str">
        <f>IF(Summary!A26&lt;&gt;"",Summary!A26,"")</f>
        <v/>
      </c>
      <c r="B25" s="21" t="str">
        <f>IF(Summary!J26&lt;&gt;"",Summary!J26,"")</f>
        <v/>
      </c>
      <c r="C25" s="44" t="str">
        <f>IF(Summary!E26+Summary!H26&gt;0,Summary!E26+Summary!H26,"")</f>
        <v/>
      </c>
      <c r="D25" s="40" t="str">
        <f>IF(Summary!L26&lt;&gt;"",Summary!L26,"")</f>
        <v/>
      </c>
      <c r="E25" s="40" t="str">
        <f>IF(Summary!M26&lt;&gt;"",Summary!M26,"")</f>
        <v/>
      </c>
      <c r="F25" s="20" t="str">
        <f>IF(Summary!N26&lt;&gt;"",Summary!N26,"")</f>
        <v/>
      </c>
      <c r="G25" s="20" t="str">
        <f>IF(Summary!O26&lt;&gt;"",Summary!O26,"")</f>
        <v/>
      </c>
    </row>
    <row r="26" spans="1:7">
      <c r="A26" s="39" t="str">
        <f>IF(Summary!A27&lt;&gt;"",Summary!A27,"")</f>
        <v/>
      </c>
      <c r="B26" s="21" t="str">
        <f>IF(Summary!J27&lt;&gt;"",Summary!J27,"")</f>
        <v/>
      </c>
      <c r="C26" s="44" t="str">
        <f>IF(Summary!E27+Summary!H27&gt;0,Summary!E27+Summary!H27,"")</f>
        <v/>
      </c>
      <c r="D26" s="40" t="str">
        <f>IF(Summary!L27&lt;&gt;"",Summary!L27,"")</f>
        <v/>
      </c>
      <c r="E26" s="40" t="str">
        <f>IF(Summary!M27&lt;&gt;"",Summary!M27,"")</f>
        <v/>
      </c>
      <c r="F26" s="20" t="str">
        <f>IF(Summary!N27&lt;&gt;"",Summary!N27,"")</f>
        <v/>
      </c>
      <c r="G26" s="20" t="str">
        <f>IF(Summary!O27&lt;&gt;"",Summary!O27,"")</f>
        <v/>
      </c>
    </row>
    <row r="27" spans="1:7">
      <c r="A27" s="39" t="str">
        <f>IF(Summary!A28&lt;&gt;"",Summary!A28,"")</f>
        <v/>
      </c>
      <c r="B27" s="21" t="str">
        <f>IF(Summary!J28&lt;&gt;"",Summary!J28,"")</f>
        <v/>
      </c>
      <c r="C27" s="44" t="str">
        <f>IF(Summary!E28+Summary!H28&gt;0,Summary!E28+Summary!H28,"")</f>
        <v/>
      </c>
      <c r="D27" s="40" t="str">
        <f>IF(Summary!L28&lt;&gt;"",Summary!L28,"")</f>
        <v/>
      </c>
      <c r="E27" s="40" t="str">
        <f>IF(Summary!M28&lt;&gt;"",Summary!M28,"")</f>
        <v/>
      </c>
      <c r="F27" s="20" t="str">
        <f>IF(Summary!N28&lt;&gt;"",Summary!N28,"")</f>
        <v/>
      </c>
      <c r="G27" s="20" t="str">
        <f>IF(Summary!O28&lt;&gt;"",Summary!O28,"")</f>
        <v/>
      </c>
    </row>
    <row r="28" spans="1:7">
      <c r="A28" s="39" t="str">
        <f>IF(Summary!A29&lt;&gt;"",Summary!A29,"")</f>
        <v/>
      </c>
      <c r="B28" s="21" t="str">
        <f>IF(Summary!J29&lt;&gt;"",Summary!J29,"")</f>
        <v/>
      </c>
      <c r="C28" s="44" t="str">
        <f>IF(Summary!E29+Summary!H29&gt;0,Summary!E29+Summary!H29,"")</f>
        <v/>
      </c>
      <c r="D28" s="40" t="str">
        <f>IF(Summary!L29&lt;&gt;"",Summary!L29,"")</f>
        <v/>
      </c>
      <c r="E28" s="40" t="str">
        <f>IF(Summary!M29&lt;&gt;"",Summary!M29,"")</f>
        <v/>
      </c>
      <c r="F28" s="20" t="str">
        <f>IF(Summary!N29&lt;&gt;"",Summary!N29,"")</f>
        <v/>
      </c>
      <c r="G28" s="20" t="str">
        <f>IF(Summary!O29&lt;&gt;"",Summary!O29,"")</f>
        <v/>
      </c>
    </row>
    <row r="29" spans="1:7">
      <c r="A29" s="39" t="str">
        <f>IF(Summary!A30&lt;&gt;"",Summary!A30,"")</f>
        <v/>
      </c>
      <c r="B29" s="21" t="str">
        <f>IF(Summary!J30&lt;&gt;"",Summary!J30,"")</f>
        <v/>
      </c>
      <c r="C29" s="44" t="str">
        <f>IF(Summary!E30+Summary!H30&gt;0,Summary!E30+Summary!H30,"")</f>
        <v/>
      </c>
      <c r="D29" s="40" t="str">
        <f>IF(Summary!L30&lt;&gt;"",Summary!L30,"")</f>
        <v/>
      </c>
      <c r="E29" s="40" t="str">
        <f>IF(Summary!M30&lt;&gt;"",Summary!M30,"")</f>
        <v/>
      </c>
      <c r="F29" s="20" t="str">
        <f>IF(Summary!N30&lt;&gt;"",Summary!N30,"")</f>
        <v/>
      </c>
      <c r="G29" s="20" t="str">
        <f>IF(Summary!O30&lt;&gt;"",Summary!O30,"")</f>
        <v/>
      </c>
    </row>
    <row r="30" spans="1:7">
      <c r="A30" s="39" t="str">
        <f>IF(Summary!A31&lt;&gt;"",Summary!A31,"")</f>
        <v/>
      </c>
      <c r="B30" s="21" t="str">
        <f>IF(Summary!J31&lt;&gt;"",Summary!J31,"")</f>
        <v/>
      </c>
      <c r="C30" s="44" t="str">
        <f>IF(Summary!E31+Summary!H31&gt;0,Summary!E31+Summary!H31,"")</f>
        <v/>
      </c>
      <c r="D30" s="40" t="str">
        <f>IF(Summary!L31&lt;&gt;"",Summary!L31,"")</f>
        <v/>
      </c>
      <c r="E30" s="40" t="str">
        <f>IF(Summary!M31&lt;&gt;"",Summary!M31,"")</f>
        <v/>
      </c>
      <c r="F30" s="20" t="str">
        <f>IF(Summary!N31&lt;&gt;"",Summary!N31,"")</f>
        <v/>
      </c>
      <c r="G30" s="20" t="str">
        <f>IF(Summary!O31&lt;&gt;"",Summary!O31,"")</f>
        <v/>
      </c>
    </row>
    <row r="31" spans="1:7">
      <c r="A31" s="39" t="str">
        <f>IF(Summary!A32&lt;&gt;"",Summary!A32,"")</f>
        <v/>
      </c>
      <c r="B31" s="21" t="str">
        <f>IF(Summary!J32&lt;&gt;"",Summary!J32,"")</f>
        <v/>
      </c>
      <c r="C31" s="44" t="str">
        <f>IF(Summary!E32+Summary!H32&gt;0,Summary!E32+Summary!H32,"")</f>
        <v/>
      </c>
      <c r="D31" s="40" t="str">
        <f>IF(Summary!L32&lt;&gt;"",Summary!L32,"")</f>
        <v/>
      </c>
      <c r="E31" s="40" t="str">
        <f>IF(Summary!M32&lt;&gt;"",Summary!M32,"")</f>
        <v/>
      </c>
      <c r="F31" s="20" t="str">
        <f>IF(Summary!N32&lt;&gt;"",Summary!N32,"")</f>
        <v/>
      </c>
      <c r="G31" s="20" t="str">
        <f>IF(Summary!O32&lt;&gt;"",Summary!O32,"")</f>
        <v/>
      </c>
    </row>
    <row r="32" spans="1:7">
      <c r="A32" s="39" t="str">
        <f>IF(Summary!A33&lt;&gt;"",Summary!A33,"")</f>
        <v/>
      </c>
      <c r="B32" s="21" t="str">
        <f>IF(Summary!J33&lt;&gt;"",Summary!J33,"")</f>
        <v/>
      </c>
      <c r="C32" s="44" t="str">
        <f>IF(Summary!E33+Summary!H33&gt;0,Summary!E33+Summary!H33,"")</f>
        <v/>
      </c>
      <c r="D32" s="40" t="str">
        <f>IF(Summary!L33&lt;&gt;"",Summary!L33,"")</f>
        <v/>
      </c>
      <c r="E32" s="40" t="str">
        <f>IF(Summary!M33&lt;&gt;"",Summary!M33,"")</f>
        <v/>
      </c>
      <c r="F32" s="20" t="str">
        <f>IF(Summary!N33&lt;&gt;"",Summary!N33,"")</f>
        <v/>
      </c>
      <c r="G32" s="20" t="str">
        <f>IF(Summary!O33&lt;&gt;"",Summary!O33,"")</f>
        <v/>
      </c>
    </row>
    <row r="33" spans="1:7">
      <c r="A33" s="39" t="str">
        <f>IF(Summary!A34&lt;&gt;"",Summary!A34,"")</f>
        <v/>
      </c>
      <c r="B33" s="21" t="str">
        <f>IF(Summary!J34&lt;&gt;"",Summary!J34,"")</f>
        <v/>
      </c>
      <c r="C33" s="44" t="str">
        <f>IF(Summary!E34+Summary!H34&gt;0,Summary!E34+Summary!H34,"")</f>
        <v/>
      </c>
      <c r="D33" s="40" t="str">
        <f>IF(Summary!L34&lt;&gt;"",Summary!L34,"")</f>
        <v/>
      </c>
      <c r="E33" s="40" t="str">
        <f>IF(Summary!M34&lt;&gt;"",Summary!M34,"")</f>
        <v/>
      </c>
      <c r="F33" s="20" t="str">
        <f>IF(Summary!N34&lt;&gt;"",Summary!N34,"")</f>
        <v/>
      </c>
      <c r="G33" s="20" t="str">
        <f>IF(Summary!O34&lt;&gt;"",Summary!O34,"")</f>
        <v/>
      </c>
    </row>
    <row r="34" spans="1:7">
      <c r="A34" s="39" t="str">
        <f>IF(Summary!A35&lt;&gt;"",Summary!A35,"")</f>
        <v/>
      </c>
      <c r="B34" s="21" t="str">
        <f>IF(Summary!J35&lt;&gt;"",Summary!J35,"")</f>
        <v/>
      </c>
      <c r="C34" s="44" t="str">
        <f>IF(Summary!E35+Summary!H35&gt;0,Summary!E35+Summary!H35,"")</f>
        <v/>
      </c>
      <c r="D34" s="40" t="str">
        <f>IF(Summary!L35&lt;&gt;"",Summary!L35,"")</f>
        <v/>
      </c>
      <c r="E34" s="40" t="str">
        <f>IF(Summary!M35&lt;&gt;"",Summary!M35,"")</f>
        <v/>
      </c>
      <c r="F34" s="20" t="str">
        <f>IF(Summary!N35&lt;&gt;"",Summary!N35,"")</f>
        <v/>
      </c>
      <c r="G34" s="20" t="str">
        <f>IF(Summary!O35&lt;&gt;"",Summary!O35,"")</f>
        <v/>
      </c>
    </row>
    <row r="35" spans="1:7">
      <c r="A35" s="39" t="str">
        <f>IF(Summary!A36&lt;&gt;"",Summary!A36,"")</f>
        <v/>
      </c>
      <c r="B35" s="21" t="str">
        <f>IF(Summary!J36&lt;&gt;"",Summary!J36,"")</f>
        <v/>
      </c>
      <c r="C35" s="44" t="str">
        <f>IF(Summary!E36+Summary!H36&gt;0,Summary!E36+Summary!H36,"")</f>
        <v/>
      </c>
      <c r="D35" s="40" t="str">
        <f>IF(Summary!L36&lt;&gt;"",Summary!L36,"")</f>
        <v/>
      </c>
      <c r="E35" s="40" t="str">
        <f>IF(Summary!M36&lt;&gt;"",Summary!M36,"")</f>
        <v/>
      </c>
      <c r="F35" s="20" t="str">
        <f>IF(Summary!N36&lt;&gt;"",Summary!N36,"")</f>
        <v/>
      </c>
      <c r="G35" s="20" t="str">
        <f>IF(Summary!O36&lt;&gt;"",Summary!O36,"")</f>
        <v/>
      </c>
    </row>
    <row r="36" spans="1:7">
      <c r="A36" s="39" t="str">
        <f>IF(Summary!A37&lt;&gt;"",Summary!A37,"")</f>
        <v/>
      </c>
      <c r="B36" s="21" t="str">
        <f>IF(Summary!J37&lt;&gt;"",Summary!J37,"")</f>
        <v/>
      </c>
      <c r="C36" s="44" t="str">
        <f>IF(Summary!E37+Summary!H37&gt;0,Summary!E37+Summary!H37,"")</f>
        <v/>
      </c>
      <c r="D36" s="40" t="str">
        <f>IF(Summary!L37&lt;&gt;"",Summary!L37,"")</f>
        <v/>
      </c>
      <c r="E36" s="40" t="str">
        <f>IF(Summary!M37&lt;&gt;"",Summary!M37,"")</f>
        <v/>
      </c>
      <c r="F36" s="20" t="str">
        <f>IF(Summary!N37&lt;&gt;"",Summary!N37,"")</f>
        <v/>
      </c>
      <c r="G36" s="20" t="str">
        <f>IF(Summary!O37&lt;&gt;"",Summary!O37,"")</f>
        <v/>
      </c>
    </row>
    <row r="37" spans="1:7">
      <c r="A37" s="39" t="str">
        <f>IF(Summary!A38&lt;&gt;"",Summary!A38,"")</f>
        <v/>
      </c>
      <c r="B37" s="21" t="str">
        <f>IF(Summary!J38&lt;&gt;"",Summary!J38,"")</f>
        <v/>
      </c>
      <c r="C37" s="44" t="str">
        <f>IF(Summary!E38+Summary!H38&gt;0,Summary!E38+Summary!H38,"")</f>
        <v/>
      </c>
      <c r="D37" s="40" t="str">
        <f>IF(Summary!L38&lt;&gt;"",Summary!L38,"")</f>
        <v/>
      </c>
      <c r="E37" s="40" t="str">
        <f>IF(Summary!M38&lt;&gt;"",Summary!M38,"")</f>
        <v/>
      </c>
      <c r="F37" s="20" t="str">
        <f>IF(Summary!N38&lt;&gt;"",Summary!N38,"")</f>
        <v/>
      </c>
      <c r="G37" s="20" t="str">
        <f>IF(Summary!O38&lt;&gt;"",Summary!O38,"")</f>
        <v/>
      </c>
    </row>
    <row r="38" spans="1:7">
      <c r="A38" s="39" t="str">
        <f>IF(Summary!A39&lt;&gt;"",Summary!A39,"")</f>
        <v/>
      </c>
      <c r="B38" s="21" t="str">
        <f>IF(Summary!J39&lt;&gt;"",Summary!J39,"")</f>
        <v/>
      </c>
      <c r="C38" s="44" t="str">
        <f>IF(Summary!E39+Summary!H39&gt;0,Summary!E39+Summary!H39,"")</f>
        <v/>
      </c>
      <c r="D38" s="40" t="str">
        <f>IF(Summary!L39&lt;&gt;"",Summary!L39,"")</f>
        <v/>
      </c>
      <c r="E38" s="40" t="str">
        <f>IF(Summary!M39&lt;&gt;"",Summary!M39,"")</f>
        <v/>
      </c>
      <c r="F38" s="20" t="str">
        <f>IF(Summary!N39&lt;&gt;"",Summary!N39,"")</f>
        <v/>
      </c>
      <c r="G38" s="20" t="str">
        <f>IF(Summary!O39&lt;&gt;"",Summary!O39,"")</f>
        <v/>
      </c>
    </row>
    <row r="39" spans="1:7">
      <c r="A39" s="39" t="str">
        <f>IF(Summary!A40&lt;&gt;"",Summary!A40,"")</f>
        <v/>
      </c>
      <c r="B39" s="21" t="str">
        <f>IF(Summary!J40&lt;&gt;"",Summary!J40,"")</f>
        <v/>
      </c>
      <c r="C39" s="44" t="str">
        <f>IF(Summary!E40+Summary!H40&gt;0,Summary!E40+Summary!H40,"")</f>
        <v/>
      </c>
      <c r="D39" s="40" t="str">
        <f>IF(Summary!L40&lt;&gt;"",Summary!L40,"")</f>
        <v/>
      </c>
      <c r="E39" s="40" t="str">
        <f>IF(Summary!M40&lt;&gt;"",Summary!M40,"")</f>
        <v/>
      </c>
      <c r="F39" s="20" t="str">
        <f>IF(Summary!N40&lt;&gt;"",Summary!N40,"")</f>
        <v/>
      </c>
      <c r="G39" s="20" t="str">
        <f>IF(Summary!O40&lt;&gt;"",Summary!O40,"")</f>
        <v/>
      </c>
    </row>
    <row r="40" spans="1:7">
      <c r="A40" s="39" t="str">
        <f>IF(Summary!A41&lt;&gt;"",Summary!A41,"")</f>
        <v/>
      </c>
      <c r="B40" s="21" t="str">
        <f>IF(Summary!J41&lt;&gt;"",Summary!J41,"")</f>
        <v/>
      </c>
      <c r="C40" s="44" t="str">
        <f>IF(Summary!E41+Summary!H41&gt;0,Summary!E41+Summary!H41,"")</f>
        <v/>
      </c>
      <c r="D40" s="40" t="str">
        <f>IF(Summary!L41&lt;&gt;"",Summary!L41,"")</f>
        <v/>
      </c>
      <c r="E40" s="40" t="str">
        <f>IF(Summary!M41&lt;&gt;"",Summary!M41,"")</f>
        <v/>
      </c>
      <c r="F40" s="20" t="str">
        <f>IF(Summary!N41&lt;&gt;"",Summary!N41,"")</f>
        <v/>
      </c>
      <c r="G40" s="20" t="str">
        <f>IF(Summary!O41&lt;&gt;"",Summary!O41,"")</f>
        <v/>
      </c>
    </row>
    <row r="41" spans="1:7">
      <c r="A41" s="39" t="str">
        <f>IF(Summary!A42&lt;&gt;"",Summary!A42,"")</f>
        <v/>
      </c>
      <c r="B41" s="21" t="str">
        <f>IF(Summary!J42&lt;&gt;"",Summary!J42,"")</f>
        <v/>
      </c>
      <c r="C41" s="44" t="str">
        <f>IF(Summary!E42+Summary!H42&gt;0,Summary!E42+Summary!H42,"")</f>
        <v/>
      </c>
      <c r="D41" s="40" t="str">
        <f>IF(Summary!L42&lt;&gt;"",Summary!L42,"")</f>
        <v/>
      </c>
      <c r="E41" s="40" t="str">
        <f>IF(Summary!M42&lt;&gt;"",Summary!M42,"")</f>
        <v/>
      </c>
      <c r="F41" s="20" t="str">
        <f>IF(Summary!N42&lt;&gt;"",Summary!N42,"")</f>
        <v/>
      </c>
      <c r="G41" s="20" t="str">
        <f>IF(Summary!O42&lt;&gt;"",Summary!O42,"")</f>
        <v/>
      </c>
    </row>
    <row r="42" spans="1:7">
      <c r="A42" s="39" t="str">
        <f>IF(Summary!A43&lt;&gt;"",Summary!A43,"")</f>
        <v/>
      </c>
      <c r="B42" s="21" t="str">
        <f>IF(Summary!J43&lt;&gt;"",Summary!J43,"")</f>
        <v/>
      </c>
      <c r="C42" s="44" t="str">
        <f>IF(Summary!E43+Summary!H43&gt;0,Summary!E43+Summary!H43,"")</f>
        <v/>
      </c>
      <c r="D42" s="40" t="str">
        <f>IF(Summary!L43&lt;&gt;"",Summary!L43,"")</f>
        <v/>
      </c>
      <c r="E42" s="40" t="str">
        <f>IF(Summary!M43&lt;&gt;"",Summary!M43,"")</f>
        <v/>
      </c>
      <c r="F42" s="20" t="str">
        <f>IF(Summary!N43&lt;&gt;"",Summary!N43,"")</f>
        <v/>
      </c>
      <c r="G42" s="20" t="str">
        <f>IF(Summary!O43&lt;&gt;"",Summary!O43,"")</f>
        <v/>
      </c>
    </row>
    <row r="43" spans="1:7">
      <c r="A43" s="39" t="str">
        <f>IF(Summary!A44&lt;&gt;"",Summary!A44,"")</f>
        <v/>
      </c>
      <c r="B43" s="21" t="str">
        <f>IF(Summary!J44&lt;&gt;"",Summary!J44,"")</f>
        <v/>
      </c>
      <c r="C43" s="44" t="str">
        <f>IF(Summary!E44+Summary!H44&gt;0,Summary!E44+Summary!H44,"")</f>
        <v/>
      </c>
      <c r="D43" s="40" t="str">
        <f>IF(Summary!L44&lt;&gt;"",Summary!L44,"")</f>
        <v/>
      </c>
      <c r="E43" s="40" t="str">
        <f>IF(Summary!M44&lt;&gt;"",Summary!M44,"")</f>
        <v/>
      </c>
      <c r="F43" s="20" t="str">
        <f>IF(Summary!N44&lt;&gt;"",Summary!N44,"")</f>
        <v/>
      </c>
      <c r="G43" s="20" t="str">
        <f>IF(Summary!O44&lt;&gt;"",Summary!O44,"")</f>
        <v/>
      </c>
    </row>
    <row r="44" spans="1:7">
      <c r="A44" s="39" t="str">
        <f>IF(Summary!A45&lt;&gt;"",Summary!A45,"")</f>
        <v/>
      </c>
      <c r="B44" s="21" t="str">
        <f>IF(Summary!J45&lt;&gt;"",Summary!J45,"")</f>
        <v/>
      </c>
      <c r="C44" s="44" t="str">
        <f>IF(Summary!E45+Summary!H45&gt;0,Summary!E45+Summary!H45,"")</f>
        <v/>
      </c>
      <c r="D44" s="40" t="str">
        <f>IF(Summary!L45&lt;&gt;"",Summary!L45,"")</f>
        <v/>
      </c>
      <c r="E44" s="40" t="str">
        <f>IF(Summary!M45&lt;&gt;"",Summary!M45,"")</f>
        <v/>
      </c>
      <c r="F44" s="20" t="str">
        <f>IF(Summary!N45&lt;&gt;"",Summary!N45,"")</f>
        <v/>
      </c>
      <c r="G44" s="20" t="str">
        <f>IF(Summary!O45&lt;&gt;"",Summary!O45,"")</f>
        <v/>
      </c>
    </row>
    <row r="45" spans="1:7">
      <c r="A45" s="39" t="str">
        <f>IF(Summary!A46&lt;&gt;"",Summary!A46,"")</f>
        <v/>
      </c>
      <c r="B45" s="21" t="str">
        <f>IF(Summary!J46&lt;&gt;"",Summary!J46,"")</f>
        <v/>
      </c>
      <c r="C45" s="44" t="str">
        <f>IF(Summary!E46+Summary!H46&gt;0,Summary!E46+Summary!H46,"")</f>
        <v/>
      </c>
      <c r="D45" s="40" t="str">
        <f>IF(Summary!L46&lt;&gt;"",Summary!L46,"")</f>
        <v/>
      </c>
      <c r="E45" s="40" t="str">
        <f>IF(Summary!M46&lt;&gt;"",Summary!M46,"")</f>
        <v/>
      </c>
      <c r="F45" s="20" t="str">
        <f>IF(Summary!N46&lt;&gt;"",Summary!N46,"")</f>
        <v/>
      </c>
      <c r="G45" s="20" t="str">
        <f>IF(Summary!O46&lt;&gt;"",Summary!O46,"")</f>
        <v/>
      </c>
    </row>
    <row r="46" spans="1:7">
      <c r="A46" s="39" t="str">
        <f>IF(Summary!A47&lt;&gt;"",Summary!A47,"")</f>
        <v/>
      </c>
      <c r="B46" s="21" t="str">
        <f>IF(Summary!J47&lt;&gt;"",Summary!J47,"")</f>
        <v/>
      </c>
      <c r="C46" s="44" t="str">
        <f>IF(Summary!E47+Summary!H47&gt;0,Summary!E47+Summary!H47,"")</f>
        <v/>
      </c>
      <c r="D46" s="40" t="str">
        <f>IF(Summary!L47&lt;&gt;"",Summary!L47,"")</f>
        <v/>
      </c>
      <c r="E46" s="40" t="str">
        <f>IF(Summary!M47&lt;&gt;"",Summary!M47,"")</f>
        <v/>
      </c>
      <c r="F46" s="20" t="str">
        <f>IF(Summary!N47&lt;&gt;"",Summary!N47,"")</f>
        <v/>
      </c>
      <c r="G46" s="20" t="str">
        <f>IF(Summary!O47&lt;&gt;"",Summary!O47,"")</f>
        <v/>
      </c>
    </row>
    <row r="47" spans="1:7">
      <c r="A47" s="39" t="str">
        <f>IF(Summary!A48&lt;&gt;"",Summary!A48,"")</f>
        <v/>
      </c>
      <c r="B47" s="21" t="str">
        <f>IF(Summary!J48&lt;&gt;"",Summary!J48,"")</f>
        <v/>
      </c>
      <c r="C47" s="44" t="str">
        <f>IF(Summary!E48+Summary!H48&gt;0,Summary!E48+Summary!H48,"")</f>
        <v/>
      </c>
      <c r="D47" s="40" t="str">
        <f>IF(Summary!L48&lt;&gt;"",Summary!L48,"")</f>
        <v/>
      </c>
      <c r="E47" s="40" t="str">
        <f>IF(Summary!M48&lt;&gt;"",Summary!M48,"")</f>
        <v/>
      </c>
      <c r="F47" s="20" t="str">
        <f>IF(Summary!N48&lt;&gt;"",Summary!N48,"")</f>
        <v/>
      </c>
      <c r="G47" s="20" t="str">
        <f>IF(Summary!O48&lt;&gt;"",Summary!O48,"")</f>
        <v/>
      </c>
    </row>
    <row r="48" spans="1:7">
      <c r="A48" s="39" t="str">
        <f>IF(Summary!A49&lt;&gt;"",Summary!A49,"")</f>
        <v/>
      </c>
      <c r="B48" s="21" t="str">
        <f>IF(Summary!J49&lt;&gt;"",Summary!J49,"")</f>
        <v/>
      </c>
      <c r="C48" s="44" t="str">
        <f>IF(Summary!E49+Summary!H49&gt;0,Summary!E49+Summary!H49,"")</f>
        <v/>
      </c>
      <c r="D48" s="40" t="str">
        <f>IF(Summary!L49&lt;&gt;"",Summary!L49,"")</f>
        <v/>
      </c>
      <c r="E48" s="40" t="str">
        <f>IF(Summary!M49&lt;&gt;"",Summary!M49,"")</f>
        <v/>
      </c>
      <c r="F48" s="20" t="str">
        <f>IF(Summary!N49&lt;&gt;"",Summary!N49,"")</f>
        <v/>
      </c>
      <c r="G48" s="20" t="str">
        <f>IF(Summary!O49&lt;&gt;"",Summary!O49,"")</f>
        <v/>
      </c>
    </row>
    <row r="49" spans="1:7">
      <c r="A49" s="39" t="str">
        <f>IF(Summary!A50&lt;&gt;"",Summary!A50,"")</f>
        <v/>
      </c>
      <c r="B49" s="21" t="str">
        <f>IF(Summary!J50&lt;&gt;"",Summary!J50,"")</f>
        <v/>
      </c>
      <c r="C49" s="44" t="str">
        <f>IF(Summary!E50+Summary!H50&gt;0,Summary!E50+Summary!H50,"")</f>
        <v/>
      </c>
      <c r="D49" s="40" t="str">
        <f>IF(Summary!L50&lt;&gt;"",Summary!L50,"")</f>
        <v/>
      </c>
      <c r="E49" s="40" t="str">
        <f>IF(Summary!M50&lt;&gt;"",Summary!M50,"")</f>
        <v/>
      </c>
      <c r="F49" s="20" t="str">
        <f>IF(Summary!N50&lt;&gt;"",Summary!N50,"")</f>
        <v/>
      </c>
      <c r="G49" s="20" t="str">
        <f>IF(Summary!O50&lt;&gt;"",Summary!O50,"")</f>
        <v/>
      </c>
    </row>
    <row r="50" spans="1:7">
      <c r="A50" s="39" t="str">
        <f>IF(Summary!A51&lt;&gt;"",Summary!A51,"")</f>
        <v/>
      </c>
      <c r="B50" s="21" t="str">
        <f>IF(Summary!J51&lt;&gt;"",Summary!J51,"")</f>
        <v/>
      </c>
      <c r="C50" s="44" t="str">
        <f>IF(Summary!E51+Summary!H51&gt;0,Summary!E51+Summary!H51,"")</f>
        <v/>
      </c>
      <c r="D50" s="40" t="str">
        <f>IF(Summary!L51&lt;&gt;"",Summary!L51,"")</f>
        <v/>
      </c>
      <c r="E50" s="40" t="str">
        <f>IF(Summary!M51&lt;&gt;"",Summary!M51,"")</f>
        <v/>
      </c>
      <c r="F50" s="20" t="str">
        <f>IF(Summary!N51&lt;&gt;"",Summary!N51,"")</f>
        <v/>
      </c>
      <c r="G50" s="20" t="str">
        <f>IF(Summary!O51&lt;&gt;"",Summary!O51,"")</f>
        <v/>
      </c>
    </row>
    <row r="51" spans="1:7">
      <c r="A51" s="39" t="str">
        <f>IF(Summary!A52&lt;&gt;"",Summary!A52,"")</f>
        <v/>
      </c>
      <c r="B51" s="21" t="str">
        <f>IF(Summary!J52&lt;&gt;"",Summary!J52,"")</f>
        <v/>
      </c>
      <c r="C51" s="44" t="str">
        <f>IF(Summary!E52+Summary!H52&gt;0,Summary!E52+Summary!H52,"")</f>
        <v/>
      </c>
      <c r="D51" s="40" t="str">
        <f>IF(Summary!L52&lt;&gt;"",Summary!L52,"")</f>
        <v/>
      </c>
      <c r="E51" s="40" t="str">
        <f>IF(Summary!M52&lt;&gt;"",Summary!M52,"")</f>
        <v/>
      </c>
      <c r="F51" s="20" t="str">
        <f>IF(Summary!N52&lt;&gt;"",Summary!N52,"")</f>
        <v/>
      </c>
      <c r="G51" s="20" t="str">
        <f>IF(Summary!O52&lt;&gt;"",Summary!O52,"")</f>
        <v/>
      </c>
    </row>
    <row r="52" spans="1:7">
      <c r="A52" s="39" t="str">
        <f>IF(Summary!A53&lt;&gt;"",Summary!A53,"")</f>
        <v/>
      </c>
      <c r="B52" s="21" t="str">
        <f>IF(Summary!J53&lt;&gt;"",Summary!J53,"")</f>
        <v/>
      </c>
      <c r="C52" s="44" t="str">
        <f>IF(Summary!E53+Summary!H53&gt;0,Summary!E53+Summary!H53,"")</f>
        <v/>
      </c>
      <c r="D52" s="40" t="str">
        <f>IF(Summary!L53&lt;&gt;"",Summary!L53,"")</f>
        <v/>
      </c>
      <c r="E52" s="40" t="str">
        <f>IF(Summary!M53&lt;&gt;"",Summary!M53,"")</f>
        <v/>
      </c>
      <c r="F52" s="20" t="str">
        <f>IF(Summary!N53&lt;&gt;"",Summary!N53,"")</f>
        <v/>
      </c>
      <c r="G52" s="20" t="str">
        <f>IF(Summary!O53&lt;&gt;"",Summary!O53,"")</f>
        <v/>
      </c>
    </row>
    <row r="53" spans="1:7">
      <c r="A53" s="39" t="str">
        <f>IF(Summary!A54&lt;&gt;"",Summary!A54,"")</f>
        <v/>
      </c>
      <c r="B53" s="21" t="str">
        <f>IF(Summary!J54&lt;&gt;"",Summary!J54,"")</f>
        <v/>
      </c>
      <c r="C53" s="44" t="str">
        <f>IF(Summary!E54+Summary!H54&gt;0,Summary!E54+Summary!H54,"")</f>
        <v/>
      </c>
      <c r="D53" s="40" t="str">
        <f>IF(Summary!L54&lt;&gt;"",Summary!L54,"")</f>
        <v/>
      </c>
      <c r="E53" s="40" t="str">
        <f>IF(Summary!M54&lt;&gt;"",Summary!M54,"")</f>
        <v/>
      </c>
      <c r="F53" s="20" t="str">
        <f>IF(Summary!N54&lt;&gt;"",Summary!N54,"")</f>
        <v/>
      </c>
      <c r="G53" s="20" t="str">
        <f>IF(Summary!O54&lt;&gt;"",Summary!O54,"")</f>
        <v/>
      </c>
    </row>
    <row r="54" spans="1:7">
      <c r="A54" s="39" t="str">
        <f>IF(Summary!A55&lt;&gt;"",Summary!A55,"")</f>
        <v/>
      </c>
      <c r="B54" s="21" t="str">
        <f>IF(Summary!J55&lt;&gt;"",Summary!J55,"")</f>
        <v/>
      </c>
      <c r="C54" s="44" t="str">
        <f>IF(Summary!E55+Summary!H55&gt;0,Summary!E55+Summary!H55,"")</f>
        <v/>
      </c>
      <c r="D54" s="40" t="str">
        <f>IF(Summary!L55&lt;&gt;"",Summary!L55,"")</f>
        <v/>
      </c>
      <c r="E54" s="40" t="str">
        <f>IF(Summary!M55&lt;&gt;"",Summary!M55,"")</f>
        <v/>
      </c>
      <c r="F54" s="20" t="str">
        <f>IF(Summary!N55&lt;&gt;"",Summary!N55,"")</f>
        <v/>
      </c>
      <c r="G54" s="20" t="str">
        <f>IF(Summary!O55&lt;&gt;"",Summary!O55,"")</f>
        <v/>
      </c>
    </row>
    <row r="55" spans="1:7">
      <c r="A55" s="39" t="str">
        <f>IF(Summary!A56&lt;&gt;"",Summary!A56,"")</f>
        <v/>
      </c>
      <c r="B55" s="21" t="str">
        <f>IF(Summary!J56&lt;&gt;"",Summary!J56,"")</f>
        <v/>
      </c>
      <c r="C55" s="44" t="str">
        <f>IF(Summary!E56+Summary!H56&gt;0,Summary!E56+Summary!H56,"")</f>
        <v/>
      </c>
      <c r="D55" s="40" t="str">
        <f>IF(Summary!L56&lt;&gt;"",Summary!L56,"")</f>
        <v/>
      </c>
      <c r="E55" s="40" t="str">
        <f>IF(Summary!M56&lt;&gt;"",Summary!M56,"")</f>
        <v/>
      </c>
      <c r="F55" s="20" t="str">
        <f>IF(Summary!N56&lt;&gt;"",Summary!N56,"")</f>
        <v/>
      </c>
      <c r="G55" s="20" t="str">
        <f>IF(Summary!O56&lt;&gt;"",Summary!O56,"")</f>
        <v/>
      </c>
    </row>
    <row r="56" spans="1:7">
      <c r="A56" s="39" t="str">
        <f>IF(Summary!A57&lt;&gt;"",Summary!A57,"")</f>
        <v/>
      </c>
      <c r="B56" s="21" t="str">
        <f>IF(Summary!J57&lt;&gt;"",Summary!J57,"")</f>
        <v/>
      </c>
      <c r="C56" s="44" t="str">
        <f>IF(Summary!E57+Summary!H57&gt;0,Summary!E57+Summary!H57,"")</f>
        <v/>
      </c>
      <c r="D56" s="40" t="str">
        <f>IF(Summary!L57&lt;&gt;"",Summary!L57,"")</f>
        <v/>
      </c>
      <c r="E56" s="40" t="str">
        <f>IF(Summary!M57&lt;&gt;"",Summary!M57,"")</f>
        <v/>
      </c>
      <c r="F56" s="20" t="str">
        <f>IF(Summary!N57&lt;&gt;"",Summary!N57,"")</f>
        <v/>
      </c>
      <c r="G56" s="20" t="str">
        <f>IF(Summary!O57&lt;&gt;"",Summary!O57,"")</f>
        <v/>
      </c>
    </row>
    <row r="57" spans="1:7">
      <c r="A57" s="39" t="str">
        <f>IF(Summary!A58&lt;&gt;"",Summary!A58,"")</f>
        <v/>
      </c>
      <c r="B57" s="21" t="str">
        <f>IF(Summary!J58&lt;&gt;"",Summary!J58,"")</f>
        <v/>
      </c>
      <c r="C57" s="44" t="str">
        <f>IF(Summary!E58+Summary!H58&gt;0,Summary!E58+Summary!H58,"")</f>
        <v/>
      </c>
      <c r="D57" s="40" t="str">
        <f>IF(Summary!L58&lt;&gt;"",Summary!L58,"")</f>
        <v/>
      </c>
      <c r="E57" s="40" t="str">
        <f>IF(Summary!M58&lt;&gt;"",Summary!M58,"")</f>
        <v/>
      </c>
      <c r="F57" s="20" t="str">
        <f>IF(Summary!N58&lt;&gt;"",Summary!N58,"")</f>
        <v/>
      </c>
      <c r="G57" s="20" t="str">
        <f>IF(Summary!O58&lt;&gt;"",Summary!O58,"")</f>
        <v/>
      </c>
    </row>
    <row r="58" spans="1:7">
      <c r="A58" s="39" t="str">
        <f>IF(Summary!A59&lt;&gt;"",Summary!A59,"")</f>
        <v/>
      </c>
      <c r="B58" s="21" t="str">
        <f>IF(Summary!J59&lt;&gt;"",Summary!J59,"")</f>
        <v/>
      </c>
      <c r="C58" s="44" t="str">
        <f>IF(Summary!E59+Summary!H59&gt;0,Summary!E59+Summary!H59,"")</f>
        <v/>
      </c>
      <c r="D58" s="40" t="str">
        <f>IF(Summary!L59&lt;&gt;"",Summary!L59,"")</f>
        <v/>
      </c>
      <c r="E58" s="40" t="str">
        <f>IF(Summary!M59&lt;&gt;"",Summary!M59,"")</f>
        <v/>
      </c>
      <c r="F58" s="20" t="str">
        <f>IF(Summary!N59&lt;&gt;"",Summary!N59,"")</f>
        <v/>
      </c>
      <c r="G58" s="20" t="str">
        <f>IF(Summary!O59&lt;&gt;"",Summary!O59,"")</f>
        <v/>
      </c>
    </row>
    <row r="59" spans="1:7">
      <c r="A59" s="39" t="str">
        <f>IF(Summary!A60&lt;&gt;"",Summary!A60,"")</f>
        <v/>
      </c>
      <c r="B59" s="21" t="str">
        <f>IF(Summary!J60&lt;&gt;"",Summary!J60,"")</f>
        <v/>
      </c>
      <c r="C59" s="44" t="str">
        <f>IF(Summary!E60+Summary!H60&gt;0,Summary!E60+Summary!H60,"")</f>
        <v/>
      </c>
      <c r="D59" s="40" t="str">
        <f>IF(Summary!L60&lt;&gt;"",Summary!L60,"")</f>
        <v/>
      </c>
      <c r="E59" s="40" t="str">
        <f>IF(Summary!M60&lt;&gt;"",Summary!M60,"")</f>
        <v/>
      </c>
      <c r="F59" s="20" t="str">
        <f>IF(Summary!N60&lt;&gt;"",Summary!N60,"")</f>
        <v/>
      </c>
      <c r="G59" s="20" t="str">
        <f>IF(Summary!O60&lt;&gt;"",Summary!O60,"")</f>
        <v/>
      </c>
    </row>
    <row r="60" spans="1:7">
      <c r="A60" s="39" t="str">
        <f>IF(Summary!A61&lt;&gt;"",Summary!A61,"")</f>
        <v/>
      </c>
      <c r="B60" s="21" t="str">
        <f>IF(Summary!J61&lt;&gt;"",Summary!J61,"")</f>
        <v/>
      </c>
      <c r="C60" s="44" t="str">
        <f>IF(Summary!E61+Summary!H61&gt;0,Summary!E61+Summary!H61,"")</f>
        <v/>
      </c>
      <c r="D60" s="40" t="str">
        <f>IF(Summary!L61&lt;&gt;"",Summary!L61,"")</f>
        <v/>
      </c>
      <c r="E60" s="40" t="str">
        <f>IF(Summary!M61&lt;&gt;"",Summary!M61,"")</f>
        <v/>
      </c>
      <c r="F60" s="20" t="str">
        <f>IF(Summary!N61&lt;&gt;"",Summary!N61,"")</f>
        <v/>
      </c>
      <c r="G60" s="20" t="str">
        <f>IF(Summary!O61&lt;&gt;"",Summary!O61,"")</f>
        <v/>
      </c>
    </row>
    <row r="61" spans="1:7">
      <c r="A61" s="39" t="str">
        <f>IF(Summary!A62&lt;&gt;"",Summary!A62,"")</f>
        <v/>
      </c>
      <c r="B61" s="21" t="str">
        <f>IF(Summary!J62&lt;&gt;"",Summary!J62,"")</f>
        <v/>
      </c>
      <c r="C61" s="44" t="str">
        <f>IF(Summary!E62+Summary!H62&gt;0,Summary!E62+Summary!H62,"")</f>
        <v/>
      </c>
      <c r="D61" s="40" t="str">
        <f>IF(Summary!L62&lt;&gt;"",Summary!L62,"")</f>
        <v/>
      </c>
      <c r="E61" s="40" t="str">
        <f>IF(Summary!M62&lt;&gt;"",Summary!M62,"")</f>
        <v/>
      </c>
      <c r="F61" s="20" t="str">
        <f>IF(Summary!N62&lt;&gt;"",Summary!N62,"")</f>
        <v/>
      </c>
      <c r="G61" s="20" t="str">
        <f>IF(Summary!O62&lt;&gt;"",Summary!O62,"")</f>
        <v/>
      </c>
    </row>
    <row r="62" spans="1:7">
      <c r="A62" s="39" t="str">
        <f>IF(Summary!A63&lt;&gt;"",Summary!A63,"")</f>
        <v/>
      </c>
      <c r="B62" s="21" t="str">
        <f>IF(Summary!J63&lt;&gt;"",Summary!J63,"")</f>
        <v/>
      </c>
      <c r="C62" s="44" t="str">
        <f>IF(Summary!E63+Summary!H63&gt;0,Summary!E63+Summary!H63,"")</f>
        <v/>
      </c>
      <c r="D62" s="40" t="str">
        <f>IF(Summary!L63&lt;&gt;"",Summary!L63,"")</f>
        <v/>
      </c>
      <c r="E62" s="40" t="str">
        <f>IF(Summary!M63&lt;&gt;"",Summary!M63,"")</f>
        <v/>
      </c>
      <c r="F62" s="20" t="str">
        <f>IF(Summary!N63&lt;&gt;"",Summary!N63,"")</f>
        <v/>
      </c>
      <c r="G62" s="20" t="str">
        <f>IF(Summary!O63&lt;&gt;"",Summary!O63,"")</f>
        <v/>
      </c>
    </row>
    <row r="63" spans="1:7">
      <c r="A63" s="39" t="str">
        <f>IF(Summary!A64&lt;&gt;"",Summary!A64,"")</f>
        <v/>
      </c>
      <c r="B63" s="21" t="str">
        <f>IF(Summary!J64&lt;&gt;"",Summary!J64,"")</f>
        <v/>
      </c>
      <c r="C63" s="44" t="str">
        <f>IF(Summary!E64+Summary!H64&gt;0,Summary!E64+Summary!H64,"")</f>
        <v/>
      </c>
      <c r="D63" s="40" t="str">
        <f>IF(Summary!L64&lt;&gt;"",Summary!L64,"")</f>
        <v/>
      </c>
      <c r="E63" s="40" t="str">
        <f>IF(Summary!M64&lt;&gt;"",Summary!M64,"")</f>
        <v/>
      </c>
      <c r="F63" s="20" t="str">
        <f>IF(Summary!N64&lt;&gt;"",Summary!N64,"")</f>
        <v/>
      </c>
      <c r="G63" s="20" t="str">
        <f>IF(Summary!O64&lt;&gt;"",Summary!O64,"")</f>
        <v/>
      </c>
    </row>
    <row r="64" spans="1:7">
      <c r="A64" s="39" t="str">
        <f>IF(Summary!A65&lt;&gt;"",Summary!A65,"")</f>
        <v/>
      </c>
      <c r="B64" s="21" t="str">
        <f>IF(Summary!J65&lt;&gt;"",Summary!J65,"")</f>
        <v/>
      </c>
      <c r="C64" s="44" t="str">
        <f>IF(Summary!E65+Summary!H65&gt;0,Summary!E65+Summary!H65,"")</f>
        <v/>
      </c>
      <c r="D64" s="40" t="str">
        <f>IF(Summary!L65&lt;&gt;"",Summary!L65,"")</f>
        <v/>
      </c>
      <c r="E64" s="40" t="str">
        <f>IF(Summary!M65&lt;&gt;"",Summary!M65,"")</f>
        <v/>
      </c>
      <c r="F64" s="20" t="str">
        <f>IF(Summary!N65&lt;&gt;"",Summary!N65,"")</f>
        <v/>
      </c>
      <c r="G64" s="20" t="str">
        <f>IF(Summary!O65&lt;&gt;"",Summary!O65,"")</f>
        <v/>
      </c>
    </row>
    <row r="65" spans="1:7">
      <c r="A65" s="39" t="str">
        <f>IF(Summary!A66&lt;&gt;"",Summary!A66,"")</f>
        <v/>
      </c>
      <c r="B65" s="21" t="str">
        <f>IF(Summary!J66&lt;&gt;"",Summary!J66,"")</f>
        <v/>
      </c>
      <c r="C65" s="44" t="str">
        <f>IF(Summary!E66+Summary!H66&gt;0,Summary!E66+Summary!H66,"")</f>
        <v/>
      </c>
      <c r="D65" s="40" t="str">
        <f>IF(Summary!L66&lt;&gt;"",Summary!L66,"")</f>
        <v/>
      </c>
      <c r="E65" s="40" t="str">
        <f>IF(Summary!M66&lt;&gt;"",Summary!M66,"")</f>
        <v/>
      </c>
      <c r="F65" s="20" t="str">
        <f>IF(Summary!N66&lt;&gt;"",Summary!N66,"")</f>
        <v/>
      </c>
      <c r="G65" s="20" t="str">
        <f>IF(Summary!O66&lt;&gt;"",Summary!O66,"")</f>
        <v/>
      </c>
    </row>
    <row r="66" spans="1:7">
      <c r="A66" s="39" t="str">
        <f>IF(Summary!A67&lt;&gt;"",Summary!A67,"")</f>
        <v/>
      </c>
      <c r="B66" s="21" t="str">
        <f>IF(Summary!J67&lt;&gt;"",Summary!J67,"")</f>
        <v/>
      </c>
      <c r="C66" s="44" t="str">
        <f>IF(Summary!E67+Summary!H67&gt;0,Summary!E67+Summary!H67,"")</f>
        <v/>
      </c>
      <c r="D66" s="40" t="str">
        <f>IF(Summary!L67&lt;&gt;"",Summary!L67,"")</f>
        <v/>
      </c>
      <c r="E66" s="40" t="str">
        <f>IF(Summary!M67&lt;&gt;"",Summary!M67,"")</f>
        <v/>
      </c>
      <c r="F66" s="20" t="str">
        <f>IF(Summary!N67&lt;&gt;"",Summary!N67,"")</f>
        <v/>
      </c>
      <c r="G66" s="20" t="str">
        <f>IF(Summary!O67&lt;&gt;"",Summary!O67,"")</f>
        <v/>
      </c>
    </row>
    <row r="67" spans="1:7">
      <c r="A67" s="39" t="str">
        <f>IF(Summary!A68&lt;&gt;"",Summary!A68,"")</f>
        <v/>
      </c>
      <c r="B67" s="21" t="str">
        <f>IF(Summary!J68&lt;&gt;"",Summary!J68,"")</f>
        <v/>
      </c>
      <c r="C67" s="44" t="str">
        <f>IF(Summary!E68+Summary!H68&gt;0,Summary!E68+Summary!H68,"")</f>
        <v/>
      </c>
      <c r="D67" s="40" t="str">
        <f>IF(Summary!L68&lt;&gt;"",Summary!L68,"")</f>
        <v/>
      </c>
      <c r="E67" s="40" t="str">
        <f>IF(Summary!M68&lt;&gt;"",Summary!M68,"")</f>
        <v/>
      </c>
      <c r="F67" s="20" t="str">
        <f>IF(Summary!N68&lt;&gt;"",Summary!N68,"")</f>
        <v/>
      </c>
      <c r="G67" s="20" t="str">
        <f>IF(Summary!O68&lt;&gt;"",Summary!O68,"")</f>
        <v/>
      </c>
    </row>
    <row r="68" spans="1:7">
      <c r="A68" s="39" t="str">
        <f>IF(Summary!A69&lt;&gt;"",Summary!A69,"")</f>
        <v/>
      </c>
      <c r="B68" s="21" t="str">
        <f>IF(Summary!J69&lt;&gt;"",Summary!J69,"")</f>
        <v/>
      </c>
      <c r="C68" s="44" t="str">
        <f>IF(Summary!E69+Summary!H69&gt;0,Summary!E69+Summary!H69,"")</f>
        <v/>
      </c>
      <c r="D68" s="40" t="str">
        <f>IF(Summary!L69&lt;&gt;"",Summary!L69,"")</f>
        <v/>
      </c>
      <c r="E68" s="40" t="str">
        <f>IF(Summary!M69&lt;&gt;"",Summary!M69,"")</f>
        <v/>
      </c>
      <c r="F68" s="20" t="str">
        <f>IF(Summary!N69&lt;&gt;"",Summary!N69,"")</f>
        <v/>
      </c>
      <c r="G68" s="20" t="str">
        <f>IF(Summary!O69&lt;&gt;"",Summary!O69,"")</f>
        <v/>
      </c>
    </row>
    <row r="69" spans="1:7">
      <c r="A69" s="39" t="str">
        <f>IF(Summary!A70&lt;&gt;"",Summary!A70,"")</f>
        <v/>
      </c>
      <c r="B69" s="21" t="str">
        <f>IF(Summary!J70&lt;&gt;"",Summary!J70,"")</f>
        <v/>
      </c>
      <c r="C69" s="44" t="str">
        <f>IF(Summary!E70+Summary!H70&gt;0,Summary!E70+Summary!H70,"")</f>
        <v/>
      </c>
      <c r="D69" s="40" t="str">
        <f>IF(Summary!L70&lt;&gt;"",Summary!L70,"")</f>
        <v/>
      </c>
      <c r="E69" s="40" t="str">
        <f>IF(Summary!M70&lt;&gt;"",Summary!M70,"")</f>
        <v/>
      </c>
      <c r="F69" s="20" t="str">
        <f>IF(Summary!N70&lt;&gt;"",Summary!N70,"")</f>
        <v/>
      </c>
      <c r="G69" s="20" t="str">
        <f>IF(Summary!O70&lt;&gt;"",Summary!O70,"")</f>
        <v/>
      </c>
    </row>
    <row r="70" spans="1:7">
      <c r="A70" s="39" t="str">
        <f>IF(Summary!A71&lt;&gt;"",Summary!A71,"")</f>
        <v/>
      </c>
      <c r="B70" s="21" t="str">
        <f>IF(Summary!J71&lt;&gt;"",Summary!J71,"")</f>
        <v/>
      </c>
      <c r="C70" s="44" t="str">
        <f>IF(Summary!E71+Summary!H71&gt;0,Summary!E71+Summary!H71,"")</f>
        <v/>
      </c>
      <c r="D70" s="40" t="str">
        <f>IF(Summary!L71&lt;&gt;"",Summary!L71,"")</f>
        <v/>
      </c>
      <c r="E70" s="40" t="str">
        <f>IF(Summary!M71&lt;&gt;"",Summary!M71,"")</f>
        <v/>
      </c>
      <c r="F70" s="20" t="str">
        <f>IF(Summary!N71&lt;&gt;"",Summary!N71,"")</f>
        <v/>
      </c>
      <c r="G70" s="20" t="str">
        <f>IF(Summary!O71&lt;&gt;"",Summary!O71,"")</f>
        <v/>
      </c>
    </row>
    <row r="71" spans="1:7">
      <c r="A71" s="39" t="str">
        <f>IF(Summary!A72&lt;&gt;"",Summary!A72,"")</f>
        <v/>
      </c>
      <c r="B71" s="21" t="str">
        <f>IF(Summary!J72&lt;&gt;"",Summary!J72,"")</f>
        <v/>
      </c>
      <c r="C71" s="44" t="str">
        <f>IF(Summary!E72+Summary!H72&gt;0,Summary!E72+Summary!H72,"")</f>
        <v/>
      </c>
      <c r="D71" s="40" t="str">
        <f>IF(Summary!L72&lt;&gt;"",Summary!L72,"")</f>
        <v/>
      </c>
      <c r="E71" s="40" t="str">
        <f>IF(Summary!M72&lt;&gt;"",Summary!M72,"")</f>
        <v/>
      </c>
      <c r="F71" s="20" t="str">
        <f>IF(Summary!N72&lt;&gt;"",Summary!N72,"")</f>
        <v/>
      </c>
      <c r="G71" s="20" t="str">
        <f>IF(Summary!O72&lt;&gt;"",Summary!O72,"")</f>
        <v/>
      </c>
    </row>
    <row r="72" spans="1:7">
      <c r="A72" s="39" t="str">
        <f>IF(Summary!A73&lt;&gt;"",Summary!A73,"")</f>
        <v/>
      </c>
      <c r="B72" s="21" t="str">
        <f>IF(Summary!J73&lt;&gt;"",Summary!J73,"")</f>
        <v/>
      </c>
      <c r="C72" s="44" t="str">
        <f>IF(Summary!E73+Summary!H73&gt;0,Summary!E73+Summary!H73,"")</f>
        <v/>
      </c>
      <c r="D72" s="40" t="str">
        <f>IF(Summary!L73&lt;&gt;"",Summary!L73,"")</f>
        <v/>
      </c>
      <c r="E72" s="40" t="str">
        <f>IF(Summary!M73&lt;&gt;"",Summary!M73,"")</f>
        <v/>
      </c>
      <c r="F72" s="20" t="str">
        <f>IF(Summary!N73&lt;&gt;"",Summary!N73,"")</f>
        <v/>
      </c>
      <c r="G72" s="20" t="str">
        <f>IF(Summary!O73&lt;&gt;"",Summary!O73,"")</f>
        <v/>
      </c>
    </row>
    <row r="73" spans="1:7">
      <c r="A73" s="39" t="str">
        <f>IF(Summary!A74&lt;&gt;"",Summary!A74,"")</f>
        <v/>
      </c>
      <c r="B73" s="21" t="str">
        <f>IF(Summary!J74&lt;&gt;"",Summary!J74,"")</f>
        <v/>
      </c>
      <c r="C73" s="44" t="str">
        <f>IF(Summary!E74+Summary!H74&gt;0,Summary!E74+Summary!H74,"")</f>
        <v/>
      </c>
      <c r="D73" s="40" t="str">
        <f>IF(Summary!L74&lt;&gt;"",Summary!L74,"")</f>
        <v/>
      </c>
      <c r="E73" s="40" t="str">
        <f>IF(Summary!M74&lt;&gt;"",Summary!M74,"")</f>
        <v/>
      </c>
      <c r="F73" s="20" t="str">
        <f>IF(Summary!N74&lt;&gt;"",Summary!N74,"")</f>
        <v/>
      </c>
      <c r="G73" s="20" t="str">
        <f>IF(Summary!O74&lt;&gt;"",Summary!O74,"")</f>
        <v/>
      </c>
    </row>
    <row r="74" spans="1:7">
      <c r="A74" s="39" t="str">
        <f>IF(Summary!A75&lt;&gt;"",Summary!A75,"")</f>
        <v/>
      </c>
      <c r="B74" s="21" t="str">
        <f>IF(Summary!J75&lt;&gt;"",Summary!J75,"")</f>
        <v/>
      </c>
      <c r="C74" s="44" t="str">
        <f>IF(Summary!E75+Summary!H75&gt;0,Summary!E75+Summary!H75,"")</f>
        <v/>
      </c>
      <c r="D74" s="40" t="str">
        <f>IF(Summary!L75&lt;&gt;"",Summary!L75,"")</f>
        <v/>
      </c>
      <c r="E74" s="40" t="str">
        <f>IF(Summary!M75&lt;&gt;"",Summary!M75,"")</f>
        <v/>
      </c>
      <c r="F74" s="20" t="str">
        <f>IF(Summary!N75&lt;&gt;"",Summary!N75,"")</f>
        <v/>
      </c>
      <c r="G74" s="20" t="str">
        <f>IF(Summary!O75&lt;&gt;"",Summary!O75,"")</f>
        <v/>
      </c>
    </row>
    <row r="75" spans="1:7">
      <c r="A75" s="39" t="str">
        <f>IF(Summary!A76&lt;&gt;"",Summary!A76,"")</f>
        <v/>
      </c>
      <c r="B75" s="21" t="str">
        <f>IF(Summary!J76&lt;&gt;"",Summary!J76,"")</f>
        <v/>
      </c>
      <c r="C75" s="44" t="str">
        <f>IF(Summary!E76+Summary!H76&gt;0,Summary!E76+Summary!H76,"")</f>
        <v/>
      </c>
      <c r="D75" s="40" t="str">
        <f>IF(Summary!L76&lt;&gt;"",Summary!L76,"")</f>
        <v/>
      </c>
      <c r="E75" s="40" t="str">
        <f>IF(Summary!M76&lt;&gt;"",Summary!M76,"")</f>
        <v/>
      </c>
      <c r="F75" s="20" t="str">
        <f>IF(Summary!N76&lt;&gt;"",Summary!N76,"")</f>
        <v/>
      </c>
      <c r="G75" s="20" t="str">
        <f>IF(Summary!O76&lt;&gt;"",Summary!O76,"")</f>
        <v/>
      </c>
    </row>
    <row r="76" spans="1:7">
      <c r="A76" s="39" t="str">
        <f>IF(Summary!A77&lt;&gt;"",Summary!A77,"")</f>
        <v/>
      </c>
      <c r="B76" s="21" t="str">
        <f>IF(Summary!J77&lt;&gt;"",Summary!J77,"")</f>
        <v/>
      </c>
      <c r="C76" s="44" t="str">
        <f>IF(Summary!E77+Summary!H77&gt;0,Summary!E77+Summary!H77,"")</f>
        <v/>
      </c>
      <c r="D76" s="40" t="str">
        <f>IF(Summary!L77&lt;&gt;"",Summary!L77,"")</f>
        <v/>
      </c>
      <c r="E76" s="40" t="str">
        <f>IF(Summary!M77&lt;&gt;"",Summary!M77,"")</f>
        <v/>
      </c>
      <c r="F76" s="20" t="str">
        <f>IF(Summary!N77&lt;&gt;"",Summary!N77,"")</f>
        <v/>
      </c>
      <c r="G76" s="20" t="str">
        <f>IF(Summary!O77&lt;&gt;"",Summary!O77,"")</f>
        <v/>
      </c>
    </row>
    <row r="77" spans="1:7">
      <c r="A77" s="39" t="str">
        <f>IF(Summary!A78&lt;&gt;"",Summary!A78,"")</f>
        <v/>
      </c>
      <c r="B77" s="21" t="str">
        <f>IF(Summary!J78&lt;&gt;"",Summary!J78,"")</f>
        <v/>
      </c>
      <c r="C77" s="44" t="str">
        <f>IF(Summary!E78+Summary!H78&gt;0,Summary!E78+Summary!H78,"")</f>
        <v/>
      </c>
      <c r="D77" s="40" t="str">
        <f>IF(Summary!L78&lt;&gt;"",Summary!L78,"")</f>
        <v/>
      </c>
      <c r="E77" s="40" t="str">
        <f>IF(Summary!M78&lt;&gt;"",Summary!M78,"")</f>
        <v/>
      </c>
      <c r="F77" s="20" t="str">
        <f>IF(Summary!N78&lt;&gt;"",Summary!N78,"")</f>
        <v/>
      </c>
      <c r="G77" s="20" t="str">
        <f>IF(Summary!O78&lt;&gt;"",Summary!O78,"")</f>
        <v/>
      </c>
    </row>
    <row r="78" spans="1:7">
      <c r="A78" s="39" t="str">
        <f>IF(Summary!A79&lt;&gt;"",Summary!A79,"")</f>
        <v/>
      </c>
      <c r="B78" s="21" t="str">
        <f>IF(Summary!J79&lt;&gt;"",Summary!J79,"")</f>
        <v/>
      </c>
      <c r="C78" s="44" t="str">
        <f>IF(Summary!E79+Summary!H79&gt;0,Summary!E79+Summary!H79,"")</f>
        <v/>
      </c>
      <c r="D78" s="40" t="str">
        <f>IF(Summary!L79&lt;&gt;"",Summary!L79,"")</f>
        <v/>
      </c>
      <c r="E78" s="40" t="str">
        <f>IF(Summary!M79&lt;&gt;"",Summary!M79,"")</f>
        <v/>
      </c>
      <c r="F78" s="20" t="str">
        <f>IF(Summary!N79&lt;&gt;"",Summary!N79,"")</f>
        <v/>
      </c>
      <c r="G78" s="20" t="str">
        <f>IF(Summary!O79&lt;&gt;"",Summary!O79,"")</f>
        <v/>
      </c>
    </row>
    <row r="79" spans="1:7">
      <c r="A79" s="39" t="str">
        <f>IF(Summary!A80&lt;&gt;"",Summary!A80,"")</f>
        <v/>
      </c>
      <c r="B79" s="21" t="str">
        <f>IF(Summary!J80&lt;&gt;"",Summary!J80,"")</f>
        <v/>
      </c>
      <c r="C79" s="44" t="str">
        <f>IF(Summary!E80+Summary!H80&gt;0,Summary!E80+Summary!H80,"")</f>
        <v/>
      </c>
      <c r="D79" s="40" t="str">
        <f>IF(Summary!L80&lt;&gt;"",Summary!L80,"")</f>
        <v/>
      </c>
      <c r="E79" s="40" t="str">
        <f>IF(Summary!M80&lt;&gt;"",Summary!M80,"")</f>
        <v/>
      </c>
      <c r="F79" s="20" t="str">
        <f>IF(Summary!N80&lt;&gt;"",Summary!N80,"")</f>
        <v/>
      </c>
      <c r="G79" s="20" t="str">
        <f>IF(Summary!O80&lt;&gt;"",Summary!O80,"")</f>
        <v/>
      </c>
    </row>
    <row r="80" spans="1:7">
      <c r="A80" s="39" t="str">
        <f>IF(Summary!A81&lt;&gt;"",Summary!A81,"")</f>
        <v/>
      </c>
      <c r="B80" s="21" t="str">
        <f>IF(Summary!J81&lt;&gt;"",Summary!J81,"")</f>
        <v/>
      </c>
      <c r="C80" s="44" t="str">
        <f>IF(Summary!E81+Summary!H81&gt;0,Summary!E81+Summary!H81,"")</f>
        <v/>
      </c>
      <c r="D80" s="40" t="str">
        <f>IF(Summary!L81&lt;&gt;"",Summary!L81,"")</f>
        <v/>
      </c>
      <c r="E80" s="40" t="str">
        <f>IF(Summary!M81&lt;&gt;"",Summary!M81,"")</f>
        <v/>
      </c>
      <c r="F80" s="20" t="str">
        <f>IF(Summary!N81&lt;&gt;"",Summary!N81,"")</f>
        <v/>
      </c>
      <c r="G80" s="20" t="str">
        <f>IF(Summary!O81&lt;&gt;"",Summary!O81,"")</f>
        <v/>
      </c>
    </row>
    <row r="81" spans="1:7">
      <c r="A81" s="39" t="str">
        <f>IF(Summary!A82&lt;&gt;"",Summary!A82,"")</f>
        <v/>
      </c>
      <c r="B81" s="21" t="str">
        <f>IF(Summary!J82&lt;&gt;"",Summary!J82,"")</f>
        <v/>
      </c>
      <c r="C81" s="44" t="str">
        <f>IF(Summary!E82+Summary!H82&gt;0,Summary!E82+Summary!H82,"")</f>
        <v/>
      </c>
      <c r="D81" s="40" t="str">
        <f>IF(Summary!L82&lt;&gt;"",Summary!L82,"")</f>
        <v/>
      </c>
      <c r="E81" s="40" t="str">
        <f>IF(Summary!M82&lt;&gt;"",Summary!M82,"")</f>
        <v/>
      </c>
      <c r="F81" s="20" t="str">
        <f>IF(Summary!N82&lt;&gt;"",Summary!N82,"")</f>
        <v/>
      </c>
      <c r="G81" s="20" t="str">
        <f>IF(Summary!O82&lt;&gt;"",Summary!O82,"")</f>
        <v/>
      </c>
    </row>
    <row r="82" spans="1:7">
      <c r="A82" s="39" t="str">
        <f>IF(Summary!A83&lt;&gt;"",Summary!A83,"")</f>
        <v/>
      </c>
      <c r="B82" s="21" t="str">
        <f>IF(Summary!J83&lt;&gt;"",Summary!J83,"")</f>
        <v/>
      </c>
      <c r="C82" s="44" t="str">
        <f>IF(Summary!E83+Summary!H83&gt;0,Summary!E83+Summary!H83,"")</f>
        <v/>
      </c>
      <c r="D82" s="40" t="str">
        <f>IF(Summary!L83&lt;&gt;"",Summary!L83,"")</f>
        <v/>
      </c>
      <c r="E82" s="40" t="str">
        <f>IF(Summary!M83&lt;&gt;"",Summary!M83,"")</f>
        <v/>
      </c>
      <c r="F82" s="20" t="str">
        <f>IF(Summary!N83&lt;&gt;"",Summary!N83,"")</f>
        <v/>
      </c>
      <c r="G82" s="20" t="str">
        <f>IF(Summary!O83&lt;&gt;"",Summary!O83,"")</f>
        <v/>
      </c>
    </row>
    <row r="83" spans="1:7">
      <c r="A83" s="39" t="str">
        <f>IF(Summary!A84&lt;&gt;"",Summary!A84,"")</f>
        <v/>
      </c>
      <c r="B83" s="21" t="str">
        <f>IF(Summary!J84&lt;&gt;"",Summary!J84,"")</f>
        <v/>
      </c>
      <c r="C83" s="44" t="str">
        <f>IF(Summary!E84+Summary!H84&gt;0,Summary!E84+Summary!H84,"")</f>
        <v/>
      </c>
      <c r="D83" s="40" t="str">
        <f>IF(Summary!L84&lt;&gt;"",Summary!L84,"")</f>
        <v/>
      </c>
      <c r="E83" s="40" t="str">
        <f>IF(Summary!M84&lt;&gt;"",Summary!M84,"")</f>
        <v/>
      </c>
      <c r="F83" s="20" t="str">
        <f>IF(Summary!N84&lt;&gt;"",Summary!N84,"")</f>
        <v/>
      </c>
      <c r="G83" s="20" t="str">
        <f>IF(Summary!O84&lt;&gt;"",Summary!O84,"")</f>
        <v/>
      </c>
    </row>
    <row r="84" spans="1:7">
      <c r="A84" s="39" t="str">
        <f>IF(Summary!A85&lt;&gt;"",Summary!A85,"")</f>
        <v/>
      </c>
      <c r="B84" s="21" t="str">
        <f>IF(Summary!J85&lt;&gt;"",Summary!J85,"")</f>
        <v/>
      </c>
      <c r="C84" s="44" t="str">
        <f>IF(Summary!E85+Summary!H85&gt;0,Summary!E85+Summary!H85,"")</f>
        <v/>
      </c>
      <c r="D84" s="40" t="str">
        <f>IF(Summary!L85&lt;&gt;"",Summary!L85,"")</f>
        <v/>
      </c>
      <c r="E84" s="40" t="str">
        <f>IF(Summary!M85&lt;&gt;"",Summary!M85,"")</f>
        <v/>
      </c>
      <c r="F84" s="20" t="str">
        <f>IF(Summary!N85&lt;&gt;"",Summary!N85,"")</f>
        <v/>
      </c>
      <c r="G84" s="20" t="str">
        <f>IF(Summary!O85&lt;&gt;"",Summary!O85,"")</f>
        <v/>
      </c>
    </row>
    <row r="85" spans="1:7">
      <c r="A85" s="39" t="str">
        <f>IF(Summary!A86&lt;&gt;"",Summary!A86,"")</f>
        <v/>
      </c>
      <c r="B85" s="21" t="str">
        <f>IF(Summary!J86&lt;&gt;"",Summary!J86,"")</f>
        <v/>
      </c>
      <c r="C85" s="44" t="str">
        <f>IF(Summary!E86+Summary!H86&gt;0,Summary!E86+Summary!H86,"")</f>
        <v/>
      </c>
      <c r="D85" s="40" t="str">
        <f>IF(Summary!L86&lt;&gt;"",Summary!L86,"")</f>
        <v/>
      </c>
      <c r="E85" s="40" t="str">
        <f>IF(Summary!M86&lt;&gt;"",Summary!M86,"")</f>
        <v/>
      </c>
      <c r="F85" s="20" t="str">
        <f>IF(Summary!N86&lt;&gt;"",Summary!N86,"")</f>
        <v/>
      </c>
      <c r="G85" s="20" t="str">
        <f>IF(Summary!O86&lt;&gt;"",Summary!O86,"")</f>
        <v/>
      </c>
    </row>
    <row r="86" spans="1:7">
      <c r="A86" s="39" t="str">
        <f>IF(Summary!A87&lt;&gt;"",Summary!A87,"")</f>
        <v/>
      </c>
      <c r="B86" s="21" t="str">
        <f>IF(Summary!J87&lt;&gt;"",Summary!J87,"")</f>
        <v/>
      </c>
      <c r="C86" s="44" t="str">
        <f>IF(Summary!E87+Summary!H87&gt;0,Summary!E87+Summary!H87,"")</f>
        <v/>
      </c>
      <c r="D86" s="40" t="str">
        <f>IF(Summary!L87&lt;&gt;"",Summary!L87,"")</f>
        <v/>
      </c>
      <c r="E86" s="40" t="str">
        <f>IF(Summary!M87&lt;&gt;"",Summary!M87,"")</f>
        <v/>
      </c>
      <c r="F86" s="20" t="str">
        <f>IF(Summary!N87&lt;&gt;"",Summary!N87,"")</f>
        <v/>
      </c>
      <c r="G86" s="20" t="str">
        <f>IF(Summary!O87&lt;&gt;"",Summary!O87,"")</f>
        <v/>
      </c>
    </row>
    <row r="87" spans="1:7">
      <c r="A87" s="39" t="str">
        <f>IF(Summary!A88&lt;&gt;"",Summary!A88,"")</f>
        <v/>
      </c>
      <c r="B87" s="21" t="str">
        <f>IF(Summary!J88&lt;&gt;"",Summary!J88,"")</f>
        <v/>
      </c>
      <c r="C87" s="44" t="str">
        <f>IF(Summary!E88+Summary!H88&gt;0,Summary!E88+Summary!H88,"")</f>
        <v/>
      </c>
      <c r="D87" s="40" t="str">
        <f>IF(Summary!L88&lt;&gt;"",Summary!L88,"")</f>
        <v/>
      </c>
      <c r="E87" s="40" t="str">
        <f>IF(Summary!M88&lt;&gt;"",Summary!M88,"")</f>
        <v/>
      </c>
      <c r="F87" s="20" t="str">
        <f>IF(Summary!N88&lt;&gt;"",Summary!N88,"")</f>
        <v/>
      </c>
      <c r="G87" s="20" t="str">
        <f>IF(Summary!O88&lt;&gt;"",Summary!O88,"")</f>
        <v/>
      </c>
    </row>
    <row r="88" spans="1:7">
      <c r="A88" s="39" t="str">
        <f>IF(Summary!A89&lt;&gt;"",Summary!A89,"")</f>
        <v/>
      </c>
      <c r="B88" s="21" t="str">
        <f>IF(Summary!J89&lt;&gt;"",Summary!J89,"")</f>
        <v/>
      </c>
      <c r="C88" s="44" t="str">
        <f>IF(Summary!E89+Summary!H89&gt;0,Summary!E89+Summary!H89,"")</f>
        <v/>
      </c>
      <c r="D88" s="40" t="str">
        <f>IF(Summary!L89&lt;&gt;"",Summary!L89,"")</f>
        <v/>
      </c>
      <c r="E88" s="40" t="str">
        <f>IF(Summary!M89&lt;&gt;"",Summary!M89,"")</f>
        <v/>
      </c>
      <c r="F88" s="20" t="str">
        <f>IF(Summary!N89&lt;&gt;"",Summary!N89,"")</f>
        <v/>
      </c>
      <c r="G88" s="20" t="str">
        <f>IF(Summary!O89&lt;&gt;"",Summary!O89,"")</f>
        <v/>
      </c>
    </row>
    <row r="89" spans="1:7">
      <c r="A89" s="39" t="str">
        <f>IF(Summary!A90&lt;&gt;"",Summary!A90,"")</f>
        <v/>
      </c>
      <c r="B89" s="21" t="str">
        <f>IF(Summary!J90&lt;&gt;"",Summary!J90,"")</f>
        <v/>
      </c>
      <c r="C89" s="44" t="str">
        <f>IF(Summary!E90+Summary!H90&gt;0,Summary!E90+Summary!H90,"")</f>
        <v/>
      </c>
      <c r="D89" s="40" t="str">
        <f>IF(Summary!L90&lt;&gt;"",Summary!L90,"")</f>
        <v/>
      </c>
      <c r="E89" s="40" t="str">
        <f>IF(Summary!M90&lt;&gt;"",Summary!M90,"")</f>
        <v/>
      </c>
      <c r="F89" s="20" t="str">
        <f>IF(Summary!N90&lt;&gt;"",Summary!N90,"")</f>
        <v/>
      </c>
      <c r="G89" s="20" t="str">
        <f>IF(Summary!O90&lt;&gt;"",Summary!O90,"")</f>
        <v/>
      </c>
    </row>
    <row r="90" spans="1:7">
      <c r="A90" s="39" t="str">
        <f>IF(Summary!A91&lt;&gt;"",Summary!A91,"")</f>
        <v/>
      </c>
      <c r="B90" s="21" t="str">
        <f>IF(Summary!J91&lt;&gt;"",Summary!J91,"")</f>
        <v/>
      </c>
      <c r="C90" s="44" t="str">
        <f>IF(Summary!E91+Summary!H91&gt;0,Summary!E91+Summary!H91,"")</f>
        <v/>
      </c>
      <c r="D90" s="40" t="str">
        <f>IF(Summary!L91&lt;&gt;"",Summary!L91,"")</f>
        <v/>
      </c>
      <c r="E90" s="40" t="str">
        <f>IF(Summary!M91&lt;&gt;"",Summary!M91,"")</f>
        <v/>
      </c>
      <c r="F90" s="20" t="str">
        <f>IF(Summary!N91&lt;&gt;"",Summary!N91,"")</f>
        <v/>
      </c>
      <c r="G90" s="20" t="str">
        <f>IF(Summary!O91&lt;&gt;"",Summary!O91,"")</f>
        <v/>
      </c>
    </row>
    <row r="91" spans="1:7">
      <c r="A91" s="39" t="str">
        <f>IF(Summary!A92&lt;&gt;"",Summary!A92,"")</f>
        <v/>
      </c>
      <c r="B91" s="21" t="str">
        <f>IF(Summary!J92&lt;&gt;"",Summary!J92,"")</f>
        <v/>
      </c>
      <c r="C91" s="44" t="str">
        <f>IF(Summary!E92+Summary!H92&gt;0,Summary!E92+Summary!H92,"")</f>
        <v/>
      </c>
      <c r="D91" s="40" t="str">
        <f>IF(Summary!L92&lt;&gt;"",Summary!L92,"")</f>
        <v/>
      </c>
      <c r="E91" s="40" t="str">
        <f>IF(Summary!M92&lt;&gt;"",Summary!M92,"")</f>
        <v/>
      </c>
      <c r="F91" s="20" t="str">
        <f>IF(Summary!N92&lt;&gt;"",Summary!N92,"")</f>
        <v/>
      </c>
      <c r="G91" s="20" t="str">
        <f>IF(Summary!O92&lt;&gt;"",Summary!O92,"")</f>
        <v/>
      </c>
    </row>
    <row r="92" spans="1:7">
      <c r="A92" s="39" t="str">
        <f>IF(Summary!A93&lt;&gt;"",Summary!A93,"")</f>
        <v/>
      </c>
      <c r="B92" s="21" t="str">
        <f>IF(Summary!J93&lt;&gt;"",Summary!J93,"")</f>
        <v/>
      </c>
      <c r="C92" s="44" t="str">
        <f>IF(Summary!E93+Summary!H93&gt;0,Summary!E93+Summary!H93,"")</f>
        <v/>
      </c>
      <c r="D92" s="40" t="str">
        <f>IF(Summary!L93&lt;&gt;"",Summary!L93,"")</f>
        <v/>
      </c>
      <c r="E92" s="40" t="str">
        <f>IF(Summary!M93&lt;&gt;"",Summary!M93,"")</f>
        <v/>
      </c>
      <c r="F92" s="20" t="str">
        <f>IF(Summary!N93&lt;&gt;"",Summary!N93,"")</f>
        <v/>
      </c>
      <c r="G92" s="20" t="str">
        <f>IF(Summary!O93&lt;&gt;"",Summary!O93,"")</f>
        <v/>
      </c>
    </row>
    <row r="93" spans="1:7">
      <c r="A93" s="39" t="str">
        <f>IF(Summary!A94&lt;&gt;"",Summary!A94,"")</f>
        <v/>
      </c>
      <c r="B93" s="21" t="str">
        <f>IF(Summary!J94&lt;&gt;"",Summary!J94,"")</f>
        <v/>
      </c>
      <c r="C93" s="44" t="str">
        <f>IF(Summary!E94+Summary!H94&gt;0,Summary!E94+Summary!H94,"")</f>
        <v/>
      </c>
      <c r="D93" s="40" t="str">
        <f>IF(Summary!L94&lt;&gt;"",Summary!L94,"")</f>
        <v/>
      </c>
      <c r="E93" s="40" t="str">
        <f>IF(Summary!M94&lt;&gt;"",Summary!M94,"")</f>
        <v/>
      </c>
      <c r="F93" s="20" t="str">
        <f>IF(Summary!N94&lt;&gt;"",Summary!N94,"")</f>
        <v/>
      </c>
      <c r="G93" s="20" t="str">
        <f>IF(Summary!O94&lt;&gt;"",Summary!O94,"")</f>
        <v/>
      </c>
    </row>
    <row r="94" spans="1:7">
      <c r="A94" s="39" t="str">
        <f>IF(Summary!A95&lt;&gt;"",Summary!A95,"")</f>
        <v/>
      </c>
      <c r="B94" s="21" t="str">
        <f>IF(Summary!J95&lt;&gt;"",Summary!J95,"")</f>
        <v/>
      </c>
      <c r="C94" s="44" t="str">
        <f>IF(Summary!E95+Summary!H95&gt;0,Summary!E95+Summary!H95,"")</f>
        <v/>
      </c>
      <c r="D94" s="40" t="str">
        <f>IF(Summary!L95&lt;&gt;"",Summary!L95,"")</f>
        <v/>
      </c>
      <c r="E94" s="40" t="str">
        <f>IF(Summary!M95&lt;&gt;"",Summary!M95,"")</f>
        <v/>
      </c>
      <c r="F94" s="20" t="str">
        <f>IF(Summary!N95&lt;&gt;"",Summary!N95,"")</f>
        <v/>
      </c>
      <c r="G94" s="20" t="str">
        <f>IF(Summary!O95&lt;&gt;"",Summary!O95,"")</f>
        <v/>
      </c>
    </row>
    <row r="95" spans="1:7">
      <c r="A95" s="39" t="str">
        <f>IF(Summary!A96&lt;&gt;"",Summary!A96,"")</f>
        <v/>
      </c>
      <c r="B95" s="21" t="str">
        <f>IF(Summary!J96&lt;&gt;"",Summary!J96,"")</f>
        <v/>
      </c>
      <c r="C95" s="44" t="str">
        <f>IF(Summary!E96+Summary!H96&gt;0,Summary!E96+Summary!H96,"")</f>
        <v/>
      </c>
      <c r="D95" s="40" t="str">
        <f>IF(Summary!L96&lt;&gt;"",Summary!L96,"")</f>
        <v/>
      </c>
      <c r="E95" s="40" t="str">
        <f>IF(Summary!M96&lt;&gt;"",Summary!M96,"")</f>
        <v/>
      </c>
      <c r="F95" s="20" t="str">
        <f>IF(Summary!N96&lt;&gt;"",Summary!N96,"")</f>
        <v/>
      </c>
      <c r="G95" s="20" t="str">
        <f>IF(Summary!O96&lt;&gt;"",Summary!O96,"")</f>
        <v/>
      </c>
    </row>
    <row r="96" spans="1:7">
      <c r="A96" s="39" t="str">
        <f>IF(Summary!A97&lt;&gt;"",Summary!A97,"")</f>
        <v/>
      </c>
      <c r="B96" s="21" t="str">
        <f>IF(Summary!J97&lt;&gt;"",Summary!J97,"")</f>
        <v/>
      </c>
      <c r="C96" s="44" t="str">
        <f>IF(Summary!E97+Summary!H97&gt;0,Summary!E97+Summary!H97,"")</f>
        <v/>
      </c>
      <c r="D96" s="40" t="str">
        <f>IF(Summary!L97&lt;&gt;"",Summary!L97,"")</f>
        <v/>
      </c>
      <c r="E96" s="40" t="str">
        <f>IF(Summary!M97&lt;&gt;"",Summary!M97,"")</f>
        <v/>
      </c>
      <c r="F96" s="20" t="str">
        <f>IF(Summary!N97&lt;&gt;"",Summary!N97,"")</f>
        <v/>
      </c>
      <c r="G96" s="20" t="str">
        <f>IF(Summary!O97&lt;&gt;"",Summary!O97,"")</f>
        <v/>
      </c>
    </row>
    <row r="97" spans="1:7">
      <c r="A97" s="39" t="str">
        <f>IF(Summary!A98&lt;&gt;"",Summary!A98,"")</f>
        <v/>
      </c>
      <c r="B97" s="21" t="str">
        <f>IF(Summary!J98&lt;&gt;"",Summary!J98,"")</f>
        <v/>
      </c>
      <c r="C97" s="44" t="str">
        <f>IF(Summary!E98+Summary!H98&gt;0,Summary!E98+Summary!H98,"")</f>
        <v/>
      </c>
      <c r="D97" s="40" t="str">
        <f>IF(Summary!L98&lt;&gt;"",Summary!L98,"")</f>
        <v/>
      </c>
      <c r="E97" s="40" t="str">
        <f>IF(Summary!M98&lt;&gt;"",Summary!M98,"")</f>
        <v/>
      </c>
      <c r="F97" s="20" t="str">
        <f>IF(Summary!N98&lt;&gt;"",Summary!N98,"")</f>
        <v/>
      </c>
      <c r="G97" s="20" t="str">
        <f>IF(Summary!O98&lt;&gt;"",Summary!O98,"")</f>
        <v/>
      </c>
    </row>
    <row r="98" spans="1:7">
      <c r="A98" s="39" t="str">
        <f>IF(Summary!A99&lt;&gt;"",Summary!A99,"")</f>
        <v/>
      </c>
      <c r="B98" s="21" t="str">
        <f>IF(Summary!J99&lt;&gt;"",Summary!J99,"")</f>
        <v/>
      </c>
      <c r="C98" s="44" t="str">
        <f>IF(Summary!E99+Summary!H99&gt;0,Summary!E99+Summary!H99,"")</f>
        <v/>
      </c>
      <c r="D98" s="40" t="str">
        <f>IF(Summary!L99&lt;&gt;"",Summary!L99,"")</f>
        <v/>
      </c>
      <c r="E98" s="40" t="str">
        <f>IF(Summary!M99&lt;&gt;"",Summary!M99,"")</f>
        <v/>
      </c>
      <c r="F98" s="20" t="str">
        <f>IF(Summary!N99&lt;&gt;"",Summary!N99,"")</f>
        <v/>
      </c>
      <c r="G98" s="20" t="str">
        <f>IF(Summary!O99&lt;&gt;"",Summary!O99,"")</f>
        <v/>
      </c>
    </row>
    <row r="99" spans="1:7">
      <c r="A99" s="39" t="str">
        <f>IF(Summary!A100&lt;&gt;"",Summary!A100,"")</f>
        <v/>
      </c>
      <c r="B99" s="21" t="str">
        <f>IF(Summary!J100&lt;&gt;"",Summary!J100,"")</f>
        <v/>
      </c>
      <c r="C99" s="44" t="str">
        <f>IF(Summary!E100+Summary!H100&gt;0,Summary!E100+Summary!H100,"")</f>
        <v/>
      </c>
      <c r="D99" s="40" t="str">
        <f>IF(Summary!L100&lt;&gt;"",Summary!L100,"")</f>
        <v/>
      </c>
      <c r="E99" s="40" t="str">
        <f>IF(Summary!M100&lt;&gt;"",Summary!M100,"")</f>
        <v/>
      </c>
      <c r="F99" s="20" t="str">
        <f>IF(Summary!N100&lt;&gt;"",Summary!N100,"")</f>
        <v/>
      </c>
      <c r="G99" s="20" t="str">
        <f>IF(Summary!O100&lt;&gt;"",Summary!O100,"")</f>
        <v/>
      </c>
    </row>
    <row r="100" spans="1:7">
      <c r="A100" s="39" t="str">
        <f>IF(Summary!A101&lt;&gt;"",Summary!A101,"")</f>
        <v/>
      </c>
      <c r="B100" s="21" t="str">
        <f>IF(Summary!J101&lt;&gt;"",Summary!J101,"")</f>
        <v/>
      </c>
      <c r="C100" s="44" t="str">
        <f>IF(Summary!E101+Summary!H101&gt;0,Summary!E101+Summary!H101,"")</f>
        <v/>
      </c>
      <c r="D100" s="40" t="str">
        <f>IF(Summary!L101&lt;&gt;"",Summary!L101,"")</f>
        <v/>
      </c>
      <c r="E100" s="40" t="str">
        <f>IF(Summary!M101&lt;&gt;"",Summary!M101,"")</f>
        <v/>
      </c>
      <c r="F100" s="20" t="str">
        <f>IF(Summary!N101&lt;&gt;"",Summary!N101,"")</f>
        <v/>
      </c>
      <c r="G100" s="20" t="str">
        <f>IF(Summary!O101&lt;&gt;"",Summary!O101,"")</f>
        <v/>
      </c>
    </row>
    <row r="101" spans="1:7">
      <c r="A101" s="39" t="str">
        <f>IF(Summary!A102&lt;&gt;"",Summary!A102,"")</f>
        <v/>
      </c>
      <c r="B101" s="21" t="str">
        <f>IF(Summary!J102&lt;&gt;"",Summary!J102,"")</f>
        <v/>
      </c>
      <c r="C101" s="44" t="str">
        <f>IF(Summary!E102+Summary!H102&gt;0,Summary!E102+Summary!H102,"")</f>
        <v/>
      </c>
      <c r="D101" s="40" t="str">
        <f>IF(Summary!L102&lt;&gt;"",Summary!L102,"")</f>
        <v/>
      </c>
      <c r="E101" s="40" t="str">
        <f>IF(Summary!M102&lt;&gt;"",Summary!M102,"")</f>
        <v/>
      </c>
      <c r="F101" s="20" t="str">
        <f>IF(Summary!N102&lt;&gt;"",Summary!N102,"")</f>
        <v/>
      </c>
      <c r="G101" s="20" t="str">
        <f>IF(Summary!O102&lt;&gt;"",Summary!O102,"")</f>
        <v/>
      </c>
    </row>
    <row r="102" spans="1:7">
      <c r="A102" s="39" t="str">
        <f>IF(Summary!A103&lt;&gt;"",Summary!A103,"")</f>
        <v/>
      </c>
      <c r="B102" s="21" t="str">
        <f>IF(Summary!J103&lt;&gt;"",Summary!J103,"")</f>
        <v/>
      </c>
      <c r="C102" s="44" t="str">
        <f>IF(Summary!E103+Summary!H103&gt;0,Summary!E103+Summary!H103,"")</f>
        <v/>
      </c>
      <c r="D102" s="40" t="str">
        <f>IF(Summary!L103&lt;&gt;"",Summary!L103,"")</f>
        <v/>
      </c>
      <c r="E102" s="40" t="str">
        <f>IF(Summary!M103&lt;&gt;"",Summary!M103,"")</f>
        <v/>
      </c>
      <c r="F102" s="20" t="str">
        <f>IF(Summary!N103&lt;&gt;"",Summary!N103,"")</f>
        <v/>
      </c>
      <c r="G102" s="20" t="str">
        <f>IF(Summary!O103&lt;&gt;"",Summary!O103,"")</f>
        <v/>
      </c>
    </row>
    <row r="103" spans="1:7">
      <c r="A103" s="39" t="str">
        <f>IF(Summary!A104&lt;&gt;"",Summary!A104,"")</f>
        <v/>
      </c>
      <c r="B103" s="21" t="str">
        <f>IF(Summary!J104&lt;&gt;"",Summary!J104,"")</f>
        <v/>
      </c>
      <c r="C103" s="44" t="str">
        <f>IF(Summary!E104+Summary!H104&gt;0,Summary!E104+Summary!H104,"")</f>
        <v/>
      </c>
      <c r="D103" s="40" t="str">
        <f>IF(Summary!L104&lt;&gt;"",Summary!L104,"")</f>
        <v/>
      </c>
      <c r="E103" s="40" t="str">
        <f>IF(Summary!M104&lt;&gt;"",Summary!M104,"")</f>
        <v/>
      </c>
      <c r="F103" s="20" t="str">
        <f>IF(Summary!N104&lt;&gt;"",Summary!N104,"")</f>
        <v/>
      </c>
      <c r="G103" s="20" t="str">
        <f>IF(Summary!O104&lt;&gt;"",Summary!O104,"")</f>
        <v/>
      </c>
    </row>
    <row r="104" spans="1:7">
      <c r="A104" s="39" t="str">
        <f>IF(Summary!A105&lt;&gt;"",Summary!A105,"")</f>
        <v/>
      </c>
      <c r="B104" s="21" t="str">
        <f>IF(Summary!J105&lt;&gt;"",Summary!J105,"")</f>
        <v/>
      </c>
      <c r="C104" s="44" t="str">
        <f>IF(Summary!E105+Summary!H105&gt;0,Summary!E105+Summary!H105,"")</f>
        <v/>
      </c>
      <c r="D104" s="40" t="str">
        <f>IF(Summary!L105&lt;&gt;"",Summary!L105,"")</f>
        <v/>
      </c>
      <c r="E104" s="40" t="str">
        <f>IF(Summary!M105&lt;&gt;"",Summary!M105,"")</f>
        <v/>
      </c>
      <c r="F104" s="20" t="str">
        <f>IF(Summary!N105&lt;&gt;"",Summary!N105,"")</f>
        <v/>
      </c>
      <c r="G104" s="20" t="str">
        <f>IF(Summary!O105&lt;&gt;"",Summary!O105,"")</f>
        <v/>
      </c>
    </row>
    <row r="105" spans="1:7">
      <c r="A105" s="39" t="str">
        <f>IF(Summary!A106&lt;&gt;"",Summary!A106,"")</f>
        <v/>
      </c>
      <c r="B105" s="21" t="str">
        <f>IF(Summary!J106&lt;&gt;"",Summary!J106,"")</f>
        <v/>
      </c>
      <c r="C105" s="44" t="str">
        <f>IF(Summary!E106+Summary!H106&gt;0,Summary!E106+Summary!H106,"")</f>
        <v/>
      </c>
      <c r="D105" s="40" t="str">
        <f>IF(Summary!L106&lt;&gt;"",Summary!L106,"")</f>
        <v/>
      </c>
      <c r="E105" s="40" t="str">
        <f>IF(Summary!M106&lt;&gt;"",Summary!M106,"")</f>
        <v/>
      </c>
      <c r="F105" s="20" t="str">
        <f>IF(Summary!N106&lt;&gt;"",Summary!N106,"")</f>
        <v/>
      </c>
      <c r="G105" s="20" t="str">
        <f>IF(Summary!O106&lt;&gt;"",Summary!O106,"")</f>
        <v/>
      </c>
    </row>
    <row r="106" spans="1:7">
      <c r="A106" s="39" t="str">
        <f>IF(Summary!A107&lt;&gt;"",Summary!A107,"")</f>
        <v/>
      </c>
      <c r="B106" s="21" t="str">
        <f>IF(Summary!J107&lt;&gt;"",Summary!J107,"")</f>
        <v/>
      </c>
      <c r="C106" s="44" t="str">
        <f>IF(Summary!E107+Summary!H107&gt;0,Summary!E107+Summary!H107,"")</f>
        <v/>
      </c>
      <c r="D106" s="40" t="str">
        <f>IF(Summary!L107&lt;&gt;"",Summary!L107,"")</f>
        <v/>
      </c>
      <c r="E106" s="40" t="str">
        <f>IF(Summary!M107&lt;&gt;"",Summary!M107,"")</f>
        <v/>
      </c>
      <c r="F106" s="20" t="str">
        <f>IF(Summary!N107&lt;&gt;"",Summary!N107,"")</f>
        <v/>
      </c>
      <c r="G106" s="20" t="str">
        <f>IF(Summary!O107&lt;&gt;"",Summary!O107,"")</f>
        <v/>
      </c>
    </row>
    <row r="107" spans="1:7">
      <c r="A107" s="39" t="str">
        <f>IF(Summary!A108&lt;&gt;"",Summary!A108,"")</f>
        <v/>
      </c>
      <c r="B107" s="21" t="str">
        <f>IF(Summary!J108&lt;&gt;"",Summary!J108,"")</f>
        <v/>
      </c>
      <c r="C107" s="44" t="str">
        <f>IF(Summary!E108+Summary!H108&gt;0,Summary!E108+Summary!H108,"")</f>
        <v/>
      </c>
      <c r="D107" s="40" t="str">
        <f>IF(Summary!L108&lt;&gt;"",Summary!L108,"")</f>
        <v/>
      </c>
      <c r="E107" s="40" t="str">
        <f>IF(Summary!M108&lt;&gt;"",Summary!M108,"")</f>
        <v/>
      </c>
      <c r="F107" s="20" t="str">
        <f>IF(Summary!N108&lt;&gt;"",Summary!N108,"")</f>
        <v/>
      </c>
      <c r="G107" s="20" t="str">
        <f>IF(Summary!O108&lt;&gt;"",Summary!O108,"")</f>
        <v/>
      </c>
    </row>
    <row r="108" spans="1:7">
      <c r="A108" s="39" t="str">
        <f>IF(Summary!A109&lt;&gt;"",Summary!A109,"")</f>
        <v/>
      </c>
      <c r="B108" s="21" t="str">
        <f>IF(Summary!J109&lt;&gt;"",Summary!J109,"")</f>
        <v/>
      </c>
      <c r="C108" s="44" t="str">
        <f>IF(Summary!E109+Summary!H109&gt;0,Summary!E109+Summary!H109,"")</f>
        <v/>
      </c>
      <c r="D108" s="40" t="str">
        <f>IF(Summary!L109&lt;&gt;"",Summary!L109,"")</f>
        <v/>
      </c>
      <c r="E108" s="40" t="str">
        <f>IF(Summary!M109&lt;&gt;"",Summary!M109,"")</f>
        <v/>
      </c>
      <c r="F108" s="20" t="str">
        <f>IF(Summary!N109&lt;&gt;"",Summary!N109,"")</f>
        <v/>
      </c>
      <c r="G108" s="20" t="str">
        <f>IF(Summary!O109&lt;&gt;"",Summary!O109,"")</f>
        <v/>
      </c>
    </row>
    <row r="109" spans="1:7">
      <c r="A109" s="39" t="str">
        <f>IF(Summary!A110&lt;&gt;"",Summary!A110,"")</f>
        <v/>
      </c>
      <c r="B109" s="21" t="str">
        <f>IF(Summary!J110&lt;&gt;"",Summary!J110,"")</f>
        <v/>
      </c>
      <c r="C109" s="44" t="str">
        <f>IF(Summary!E110+Summary!H110&gt;0,Summary!E110+Summary!H110,"")</f>
        <v/>
      </c>
      <c r="D109" s="40" t="str">
        <f>IF(Summary!L110&lt;&gt;"",Summary!L110,"")</f>
        <v/>
      </c>
      <c r="E109" s="40" t="str">
        <f>IF(Summary!M110&lt;&gt;"",Summary!M110,"")</f>
        <v/>
      </c>
      <c r="F109" s="20" t="str">
        <f>IF(Summary!N110&lt;&gt;"",Summary!N110,"")</f>
        <v/>
      </c>
      <c r="G109" s="20" t="str">
        <f>IF(Summary!O110&lt;&gt;"",Summary!O110,"")</f>
        <v/>
      </c>
    </row>
    <row r="110" spans="1:7">
      <c r="A110" s="39" t="str">
        <f>IF(Summary!A111&lt;&gt;"",Summary!A111,"")</f>
        <v/>
      </c>
      <c r="B110" s="21" t="str">
        <f>IF(Summary!J111&lt;&gt;"",Summary!J111,"")</f>
        <v/>
      </c>
      <c r="C110" s="44" t="str">
        <f>IF(Summary!E111+Summary!H111&gt;0,Summary!E111+Summary!H111,"")</f>
        <v/>
      </c>
      <c r="D110" s="40" t="str">
        <f>IF(Summary!L111&lt;&gt;"",Summary!L111,"")</f>
        <v/>
      </c>
      <c r="E110" s="40" t="str">
        <f>IF(Summary!M111&lt;&gt;"",Summary!M111,"")</f>
        <v/>
      </c>
      <c r="F110" s="20" t="str">
        <f>IF(Summary!N111&lt;&gt;"",Summary!N111,"")</f>
        <v/>
      </c>
      <c r="G110" s="20" t="str">
        <f>IF(Summary!O111&lt;&gt;"",Summary!O111,"")</f>
        <v/>
      </c>
    </row>
    <row r="111" spans="1:7">
      <c r="A111" s="39" t="str">
        <f>IF(Summary!A112&lt;&gt;"",Summary!A112,"")</f>
        <v/>
      </c>
      <c r="B111" s="21" t="str">
        <f>IF(Summary!J112&lt;&gt;"",Summary!J112,"")</f>
        <v/>
      </c>
      <c r="C111" s="44" t="str">
        <f>IF(Summary!E112+Summary!H112&gt;0,Summary!E112+Summary!H112,"")</f>
        <v/>
      </c>
      <c r="D111" s="40" t="str">
        <f>IF(Summary!L112&lt;&gt;"",Summary!L112,"")</f>
        <v/>
      </c>
      <c r="E111" s="40" t="str">
        <f>IF(Summary!M112&lt;&gt;"",Summary!M112,"")</f>
        <v/>
      </c>
      <c r="F111" s="20" t="str">
        <f>IF(Summary!N112&lt;&gt;"",Summary!N112,"")</f>
        <v/>
      </c>
      <c r="G111" s="20" t="str">
        <f>IF(Summary!O112&lt;&gt;"",Summary!O112,"")</f>
        <v/>
      </c>
    </row>
    <row r="112" spans="1:7">
      <c r="A112" s="39" t="str">
        <f>IF(Summary!A113&lt;&gt;"",Summary!A113,"")</f>
        <v/>
      </c>
      <c r="B112" s="21" t="str">
        <f>IF(Summary!J113&lt;&gt;"",Summary!J113,"")</f>
        <v/>
      </c>
      <c r="C112" s="44" t="str">
        <f>IF(Summary!E113+Summary!H113&gt;0,Summary!E113+Summary!H113,"")</f>
        <v/>
      </c>
      <c r="D112" s="40" t="str">
        <f>IF(Summary!L113&lt;&gt;"",Summary!L113,"")</f>
        <v/>
      </c>
      <c r="E112" s="40" t="str">
        <f>IF(Summary!M113&lt;&gt;"",Summary!M113,"")</f>
        <v/>
      </c>
      <c r="F112" s="20" t="str">
        <f>IF(Summary!N113&lt;&gt;"",Summary!N113,"")</f>
        <v/>
      </c>
      <c r="G112" s="20" t="str">
        <f>IF(Summary!O113&lt;&gt;"",Summary!O113,"")</f>
        <v/>
      </c>
    </row>
    <row r="113" spans="1:7">
      <c r="A113" s="39" t="str">
        <f>IF(Summary!A114&lt;&gt;"",Summary!A114,"")</f>
        <v/>
      </c>
      <c r="B113" s="21" t="str">
        <f>IF(Summary!J114&lt;&gt;"",Summary!J114,"")</f>
        <v/>
      </c>
      <c r="C113" s="44" t="str">
        <f>IF(Summary!E114+Summary!H114&gt;0,Summary!E114+Summary!H114,"")</f>
        <v/>
      </c>
      <c r="D113" s="40" t="str">
        <f>IF(Summary!L114&lt;&gt;"",Summary!L114,"")</f>
        <v/>
      </c>
      <c r="E113" s="40" t="str">
        <f>IF(Summary!M114&lt;&gt;"",Summary!M114,"")</f>
        <v/>
      </c>
      <c r="F113" s="20" t="str">
        <f>IF(Summary!N114&lt;&gt;"",Summary!N114,"")</f>
        <v/>
      </c>
      <c r="G113" s="20" t="str">
        <f>IF(Summary!O114&lt;&gt;"",Summary!O114,"")</f>
        <v/>
      </c>
    </row>
    <row r="114" spans="1:7">
      <c r="A114" s="39" t="str">
        <f>IF(Summary!A115&lt;&gt;"",Summary!A115,"")</f>
        <v/>
      </c>
      <c r="B114" s="21" t="str">
        <f>IF(Summary!J115&lt;&gt;"",Summary!J115,"")</f>
        <v/>
      </c>
      <c r="C114" s="44" t="str">
        <f>IF(Summary!E115+Summary!H115&gt;0,Summary!E115+Summary!H115,"")</f>
        <v/>
      </c>
      <c r="D114" s="40" t="str">
        <f>IF(Summary!L115&lt;&gt;"",Summary!L115,"")</f>
        <v/>
      </c>
      <c r="E114" s="40" t="str">
        <f>IF(Summary!M115&lt;&gt;"",Summary!M115,"")</f>
        <v/>
      </c>
      <c r="F114" s="20" t="str">
        <f>IF(Summary!N115&lt;&gt;"",Summary!N115,"")</f>
        <v/>
      </c>
      <c r="G114" s="20" t="str">
        <f>IF(Summary!O115&lt;&gt;"",Summary!O115,"")</f>
        <v/>
      </c>
    </row>
    <row r="115" spans="1:7">
      <c r="A115" s="39" t="str">
        <f>IF(Summary!A116&lt;&gt;"",Summary!A116,"")</f>
        <v/>
      </c>
      <c r="B115" s="21" t="str">
        <f>IF(Summary!J116&lt;&gt;"",Summary!J116,"")</f>
        <v/>
      </c>
      <c r="C115" s="44" t="str">
        <f>IF(Summary!E116+Summary!H116&gt;0,Summary!E116+Summary!H116,"")</f>
        <v/>
      </c>
      <c r="D115" s="40" t="str">
        <f>IF(Summary!L116&lt;&gt;"",Summary!L116,"")</f>
        <v/>
      </c>
      <c r="E115" s="40" t="str">
        <f>IF(Summary!M116&lt;&gt;"",Summary!M116,"")</f>
        <v/>
      </c>
      <c r="F115" s="20" t="str">
        <f>IF(Summary!N116&lt;&gt;"",Summary!N116,"")</f>
        <v/>
      </c>
      <c r="G115" s="20" t="str">
        <f>IF(Summary!O116&lt;&gt;"",Summary!O116,"")</f>
        <v/>
      </c>
    </row>
    <row r="116" spans="1:7">
      <c r="A116" s="39" t="str">
        <f>IF(Summary!A117&lt;&gt;"",Summary!A117,"")</f>
        <v/>
      </c>
      <c r="B116" s="21" t="str">
        <f>IF(Summary!J117&lt;&gt;"",Summary!J117,"")</f>
        <v/>
      </c>
      <c r="C116" s="44" t="str">
        <f>IF(Summary!E117+Summary!H117&gt;0,Summary!E117+Summary!H117,"")</f>
        <v/>
      </c>
      <c r="D116" s="40" t="str">
        <f>IF(Summary!L117&lt;&gt;"",Summary!L117,"")</f>
        <v/>
      </c>
      <c r="E116" s="40" t="str">
        <f>IF(Summary!M117&lt;&gt;"",Summary!M117,"")</f>
        <v/>
      </c>
      <c r="F116" s="20" t="str">
        <f>IF(Summary!N117&lt;&gt;"",Summary!N117,"")</f>
        <v/>
      </c>
      <c r="G116" s="20" t="str">
        <f>IF(Summary!O117&lt;&gt;"",Summary!O117,"")</f>
        <v/>
      </c>
    </row>
    <row r="117" spans="1:7">
      <c r="A117" s="39" t="str">
        <f>IF(Summary!A118&lt;&gt;"",Summary!A118,"")</f>
        <v/>
      </c>
      <c r="B117" s="21" t="str">
        <f>IF(Summary!J118&lt;&gt;"",Summary!J118,"")</f>
        <v/>
      </c>
      <c r="C117" s="44" t="str">
        <f>IF(Summary!E118+Summary!H118&gt;0,Summary!E118+Summary!H118,"")</f>
        <v/>
      </c>
      <c r="D117" s="40" t="str">
        <f>IF(Summary!L118&lt;&gt;"",Summary!L118,"")</f>
        <v/>
      </c>
      <c r="E117" s="40" t="str">
        <f>IF(Summary!M118&lt;&gt;"",Summary!M118,"")</f>
        <v/>
      </c>
      <c r="F117" s="20" t="str">
        <f>IF(Summary!N118&lt;&gt;"",Summary!N118,"")</f>
        <v/>
      </c>
      <c r="G117" s="20" t="str">
        <f>IF(Summary!O118&lt;&gt;"",Summary!O118,"")</f>
        <v/>
      </c>
    </row>
    <row r="118" spans="1:7">
      <c r="A118" s="39" t="str">
        <f>IF(Summary!A119&lt;&gt;"",Summary!A119,"")</f>
        <v/>
      </c>
      <c r="B118" s="21" t="str">
        <f>IF(Summary!J119&lt;&gt;"",Summary!J119,"")</f>
        <v/>
      </c>
      <c r="C118" s="44" t="str">
        <f>IF(Summary!E119+Summary!H119&gt;0,Summary!E119+Summary!H119,"")</f>
        <v/>
      </c>
      <c r="D118" s="40" t="str">
        <f>IF(Summary!L119&lt;&gt;"",Summary!L119,"")</f>
        <v/>
      </c>
      <c r="E118" s="40" t="str">
        <f>IF(Summary!M119&lt;&gt;"",Summary!M119,"")</f>
        <v/>
      </c>
      <c r="F118" s="20" t="str">
        <f>IF(Summary!N119&lt;&gt;"",Summary!N119,"")</f>
        <v/>
      </c>
      <c r="G118" s="20" t="str">
        <f>IF(Summary!O119&lt;&gt;"",Summary!O119,"")</f>
        <v/>
      </c>
    </row>
    <row r="119" spans="1:7">
      <c r="A119" s="39" t="str">
        <f>IF(Summary!A120&lt;&gt;"",Summary!A120,"")</f>
        <v/>
      </c>
      <c r="B119" s="21" t="str">
        <f>IF(Summary!J120&lt;&gt;"",Summary!J120,"")</f>
        <v/>
      </c>
      <c r="C119" s="44" t="str">
        <f>IF(Summary!E120+Summary!H120&gt;0,Summary!E120+Summary!H120,"")</f>
        <v/>
      </c>
      <c r="D119" s="40" t="str">
        <f>IF(Summary!L120&lt;&gt;"",Summary!L120,"")</f>
        <v/>
      </c>
      <c r="E119" s="40" t="str">
        <f>IF(Summary!M120&lt;&gt;"",Summary!M120,"")</f>
        <v/>
      </c>
      <c r="F119" s="20" t="str">
        <f>IF(Summary!N120&lt;&gt;"",Summary!N120,"")</f>
        <v/>
      </c>
      <c r="G119" s="20" t="str">
        <f>IF(Summary!O120&lt;&gt;"",Summary!O120,"")</f>
        <v/>
      </c>
    </row>
    <row r="120" spans="1:7">
      <c r="A120" s="39" t="str">
        <f>IF(Summary!A121&lt;&gt;"",Summary!A121,"")</f>
        <v/>
      </c>
      <c r="B120" s="21" t="str">
        <f>IF(Summary!J121&lt;&gt;"",Summary!J121,"")</f>
        <v/>
      </c>
      <c r="C120" s="44" t="str">
        <f>IF(Summary!E121+Summary!H121&gt;0,Summary!E121+Summary!H121,"")</f>
        <v/>
      </c>
      <c r="D120" s="40" t="str">
        <f>IF(Summary!L121&lt;&gt;"",Summary!L121,"")</f>
        <v/>
      </c>
      <c r="E120" s="40" t="str">
        <f>IF(Summary!M121&lt;&gt;"",Summary!M121,"")</f>
        <v/>
      </c>
      <c r="F120" s="20" t="str">
        <f>IF(Summary!N121&lt;&gt;"",Summary!N121,"")</f>
        <v/>
      </c>
      <c r="G120" s="20" t="str">
        <f>IF(Summary!O121&lt;&gt;"",Summary!O121,"")</f>
        <v/>
      </c>
    </row>
    <row r="121" spans="1:7">
      <c r="A121" s="39" t="str">
        <f>IF(Summary!A122&lt;&gt;"",Summary!A122,"")</f>
        <v/>
      </c>
      <c r="B121" s="21" t="str">
        <f>IF(Summary!J122&lt;&gt;"",Summary!J122,"")</f>
        <v/>
      </c>
      <c r="C121" s="44" t="str">
        <f>IF(Summary!E122+Summary!H122&gt;0,Summary!E122+Summary!H122,"")</f>
        <v/>
      </c>
      <c r="D121" s="40" t="str">
        <f>IF(Summary!L122&lt;&gt;"",Summary!L122,"")</f>
        <v/>
      </c>
      <c r="E121" s="40" t="str">
        <f>IF(Summary!M122&lt;&gt;"",Summary!M122,"")</f>
        <v/>
      </c>
      <c r="F121" s="20" t="str">
        <f>IF(Summary!N122&lt;&gt;"",Summary!N122,"")</f>
        <v/>
      </c>
      <c r="G121" s="20" t="str">
        <f>IF(Summary!O122&lt;&gt;"",Summary!O122,"")</f>
        <v/>
      </c>
    </row>
    <row r="122" spans="1:7">
      <c r="A122" s="39" t="str">
        <f>IF(Summary!A123&lt;&gt;"",Summary!A123,"")</f>
        <v/>
      </c>
      <c r="B122" s="21" t="str">
        <f>IF(Summary!J123&lt;&gt;"",Summary!J123,"")</f>
        <v/>
      </c>
      <c r="C122" s="44" t="str">
        <f>IF(Summary!E123+Summary!H123&gt;0,Summary!E123+Summary!H123,"")</f>
        <v/>
      </c>
      <c r="D122" s="40" t="str">
        <f>IF(Summary!L123&lt;&gt;"",Summary!L123,"")</f>
        <v/>
      </c>
      <c r="E122" s="40" t="str">
        <f>IF(Summary!M123&lt;&gt;"",Summary!M123,"")</f>
        <v/>
      </c>
      <c r="F122" s="20" t="str">
        <f>IF(Summary!N123&lt;&gt;"",Summary!N123,"")</f>
        <v/>
      </c>
      <c r="G122" s="20" t="str">
        <f>IF(Summary!O123&lt;&gt;"",Summary!O123,"")</f>
        <v/>
      </c>
    </row>
    <row r="123" spans="1:7">
      <c r="A123" s="39" t="str">
        <f>IF(Summary!A124&lt;&gt;"",Summary!A124,"")</f>
        <v/>
      </c>
      <c r="B123" s="21" t="str">
        <f>IF(Summary!J124&lt;&gt;"",Summary!J124,"")</f>
        <v/>
      </c>
      <c r="C123" s="44" t="str">
        <f>IF(Summary!E124+Summary!H124&gt;0,Summary!E124+Summary!H124,"")</f>
        <v/>
      </c>
      <c r="D123" s="40" t="str">
        <f>IF(Summary!L124&lt;&gt;"",Summary!L124,"")</f>
        <v/>
      </c>
      <c r="E123" s="40" t="str">
        <f>IF(Summary!M124&lt;&gt;"",Summary!M124,"")</f>
        <v/>
      </c>
      <c r="F123" s="20" t="str">
        <f>IF(Summary!N124&lt;&gt;"",Summary!N124,"")</f>
        <v/>
      </c>
      <c r="G123" s="20" t="str">
        <f>IF(Summary!O124&lt;&gt;"",Summary!O124,"")</f>
        <v/>
      </c>
    </row>
    <row r="124" spans="1:7">
      <c r="A124" s="39" t="str">
        <f>IF(Summary!A125&lt;&gt;"",Summary!A125,"")</f>
        <v/>
      </c>
      <c r="B124" s="21" t="str">
        <f>IF(Summary!J125&lt;&gt;"",Summary!J125,"")</f>
        <v/>
      </c>
      <c r="C124" s="44" t="str">
        <f>IF(Summary!E125+Summary!H125&gt;0,Summary!E125+Summary!H125,"")</f>
        <v/>
      </c>
      <c r="D124" s="40" t="str">
        <f>IF(Summary!L125&lt;&gt;"",Summary!L125,"")</f>
        <v/>
      </c>
      <c r="E124" s="40" t="str">
        <f>IF(Summary!M125&lt;&gt;"",Summary!M125,"")</f>
        <v/>
      </c>
      <c r="F124" s="20" t="str">
        <f>IF(Summary!N125&lt;&gt;"",Summary!N125,"")</f>
        <v/>
      </c>
      <c r="G124" s="20" t="str">
        <f>IF(Summary!O125&lt;&gt;"",Summary!O125,"")</f>
        <v/>
      </c>
    </row>
    <row r="125" spans="1:7">
      <c r="A125" s="39" t="str">
        <f>IF(Summary!A126&lt;&gt;"",Summary!A126,"")</f>
        <v/>
      </c>
      <c r="B125" s="21" t="str">
        <f>IF(Summary!J126&lt;&gt;"",Summary!J126,"")</f>
        <v/>
      </c>
      <c r="C125" s="44" t="str">
        <f>IF(Summary!E126+Summary!H126&gt;0,Summary!E126+Summary!H126,"")</f>
        <v/>
      </c>
      <c r="D125" s="40" t="str">
        <f>IF(Summary!L126&lt;&gt;"",Summary!L126,"")</f>
        <v/>
      </c>
      <c r="E125" s="40" t="str">
        <f>IF(Summary!M126&lt;&gt;"",Summary!M126,"")</f>
        <v/>
      </c>
      <c r="F125" s="20" t="str">
        <f>IF(Summary!N126&lt;&gt;"",Summary!N126,"")</f>
        <v/>
      </c>
      <c r="G125" s="20" t="str">
        <f>IF(Summary!O126&lt;&gt;"",Summary!O126,"")</f>
        <v/>
      </c>
    </row>
    <row r="126" spans="1:7">
      <c r="A126" s="39" t="str">
        <f>IF(Summary!A127&lt;&gt;"",Summary!A127,"")</f>
        <v/>
      </c>
      <c r="B126" s="21" t="str">
        <f>IF(Summary!J127&lt;&gt;"",Summary!J127,"")</f>
        <v/>
      </c>
      <c r="C126" s="44" t="str">
        <f>IF(Summary!E127+Summary!H127&gt;0,Summary!E127+Summary!H127,"")</f>
        <v/>
      </c>
      <c r="D126" s="40" t="str">
        <f>IF(Summary!L127&lt;&gt;"",Summary!L127,"")</f>
        <v/>
      </c>
      <c r="E126" s="40" t="str">
        <f>IF(Summary!M127&lt;&gt;"",Summary!M127,"")</f>
        <v/>
      </c>
      <c r="F126" s="20" t="str">
        <f>IF(Summary!N127&lt;&gt;"",Summary!N127,"")</f>
        <v/>
      </c>
      <c r="G126" s="20" t="str">
        <f>IF(Summary!O127&lt;&gt;"",Summary!O127,"")</f>
        <v/>
      </c>
    </row>
    <row r="127" spans="1:7">
      <c r="A127" s="39" t="str">
        <f>IF(Summary!A128&lt;&gt;"",Summary!A128,"")</f>
        <v/>
      </c>
      <c r="B127" s="21" t="str">
        <f>IF(Summary!J128&lt;&gt;"",Summary!J128,"")</f>
        <v/>
      </c>
      <c r="C127" s="44" t="str">
        <f>IF(Summary!E128+Summary!H128&gt;0,Summary!E128+Summary!H128,"")</f>
        <v/>
      </c>
      <c r="D127" s="40" t="str">
        <f>IF(Summary!L128&lt;&gt;"",Summary!L128,"")</f>
        <v/>
      </c>
      <c r="E127" s="40" t="str">
        <f>IF(Summary!M128&lt;&gt;"",Summary!M128,"")</f>
        <v/>
      </c>
      <c r="F127" s="20" t="str">
        <f>IF(Summary!N128&lt;&gt;"",Summary!N128,"")</f>
        <v/>
      </c>
      <c r="G127" s="20" t="str">
        <f>IF(Summary!O128&lt;&gt;"",Summary!O128,"")</f>
        <v/>
      </c>
    </row>
    <row r="128" spans="1:7">
      <c r="A128" s="39" t="str">
        <f>IF(Summary!A129&lt;&gt;"",Summary!A129,"")</f>
        <v/>
      </c>
      <c r="B128" s="21" t="str">
        <f>IF(Summary!J129&lt;&gt;"",Summary!J129,"")</f>
        <v/>
      </c>
      <c r="C128" s="44" t="str">
        <f>IF(Summary!E129+Summary!H129&gt;0,Summary!E129+Summary!H129,"")</f>
        <v/>
      </c>
      <c r="D128" s="40" t="str">
        <f>IF(Summary!L129&lt;&gt;"",Summary!L129,"")</f>
        <v/>
      </c>
      <c r="E128" s="40" t="str">
        <f>IF(Summary!M129&lt;&gt;"",Summary!M129,"")</f>
        <v/>
      </c>
      <c r="F128" s="20" t="str">
        <f>IF(Summary!N129&lt;&gt;"",Summary!N129,"")</f>
        <v/>
      </c>
      <c r="G128" s="20" t="str">
        <f>IF(Summary!O129&lt;&gt;"",Summary!O129,"")</f>
        <v/>
      </c>
    </row>
    <row r="129" spans="1:7">
      <c r="A129" s="39" t="str">
        <f>IF(Summary!A130&lt;&gt;"",Summary!A130,"")</f>
        <v/>
      </c>
      <c r="B129" s="21" t="str">
        <f>IF(Summary!J130&lt;&gt;"",Summary!J130,"")</f>
        <v/>
      </c>
      <c r="C129" s="44" t="str">
        <f>IF(Summary!E130+Summary!H130&gt;0,Summary!E130+Summary!H130,"")</f>
        <v/>
      </c>
      <c r="D129" s="40" t="str">
        <f>IF(Summary!L130&lt;&gt;"",Summary!L130,"")</f>
        <v/>
      </c>
      <c r="E129" s="40" t="str">
        <f>IF(Summary!M130&lt;&gt;"",Summary!M130,"")</f>
        <v/>
      </c>
      <c r="F129" s="20" t="str">
        <f>IF(Summary!N130&lt;&gt;"",Summary!N130,"")</f>
        <v/>
      </c>
      <c r="G129" s="20" t="str">
        <f>IF(Summary!O130&lt;&gt;"",Summary!O130,"")</f>
        <v/>
      </c>
    </row>
    <row r="130" spans="1:7">
      <c r="A130" s="39" t="str">
        <f>IF(Summary!A131&lt;&gt;"",Summary!A131,"")</f>
        <v/>
      </c>
      <c r="B130" s="21" t="str">
        <f>IF(Summary!J131&lt;&gt;"",Summary!J131,"")</f>
        <v/>
      </c>
      <c r="C130" s="44" t="str">
        <f>IF(Summary!E131+Summary!H131&gt;0,Summary!E131+Summary!H131,"")</f>
        <v/>
      </c>
      <c r="D130" s="40" t="str">
        <f>IF(Summary!L131&lt;&gt;"",Summary!L131,"")</f>
        <v/>
      </c>
      <c r="E130" s="40" t="str">
        <f>IF(Summary!M131&lt;&gt;"",Summary!M131,"")</f>
        <v/>
      </c>
      <c r="F130" s="20" t="str">
        <f>IF(Summary!N131&lt;&gt;"",Summary!N131,"")</f>
        <v/>
      </c>
      <c r="G130" s="20" t="str">
        <f>IF(Summary!O131&lt;&gt;"",Summary!O131,"")</f>
        <v/>
      </c>
    </row>
    <row r="131" spans="1:7">
      <c r="A131" s="39" t="str">
        <f>IF(Summary!A132&lt;&gt;"",Summary!A132,"")</f>
        <v/>
      </c>
      <c r="B131" s="21" t="str">
        <f>IF(Summary!J132&lt;&gt;"",Summary!J132,"")</f>
        <v/>
      </c>
      <c r="C131" s="44" t="str">
        <f>IF(Summary!E132+Summary!H132&gt;0,Summary!E132+Summary!H132,"")</f>
        <v/>
      </c>
      <c r="D131" s="40" t="str">
        <f>IF(Summary!L132&lt;&gt;"",Summary!L132,"")</f>
        <v/>
      </c>
      <c r="E131" s="40" t="str">
        <f>IF(Summary!M132&lt;&gt;"",Summary!M132,"")</f>
        <v/>
      </c>
      <c r="F131" s="20" t="str">
        <f>IF(Summary!N132&lt;&gt;"",Summary!N132,"")</f>
        <v/>
      </c>
      <c r="G131" s="20" t="str">
        <f>IF(Summary!O132&lt;&gt;"",Summary!O132,"")</f>
        <v/>
      </c>
    </row>
    <row r="132" spans="1:7">
      <c r="A132" s="39" t="str">
        <f>IF(Summary!A133&lt;&gt;"",Summary!A133,"")</f>
        <v/>
      </c>
      <c r="B132" s="21" t="str">
        <f>IF(Summary!J133&lt;&gt;"",Summary!J133,"")</f>
        <v/>
      </c>
      <c r="C132" s="44" t="str">
        <f>IF(Summary!E133+Summary!H133&gt;0,Summary!E133+Summary!H133,"")</f>
        <v/>
      </c>
      <c r="D132" s="40" t="str">
        <f>IF(Summary!L133&lt;&gt;"",Summary!L133,"")</f>
        <v/>
      </c>
      <c r="E132" s="40" t="str">
        <f>IF(Summary!M133&lt;&gt;"",Summary!M133,"")</f>
        <v/>
      </c>
      <c r="F132" s="20" t="str">
        <f>IF(Summary!N133&lt;&gt;"",Summary!N133,"")</f>
        <v/>
      </c>
      <c r="G132" s="20" t="str">
        <f>IF(Summary!O133&lt;&gt;"",Summary!O133,"")</f>
        <v/>
      </c>
    </row>
    <row r="133" spans="1:7">
      <c r="A133" s="39" t="str">
        <f>IF(Summary!A134&lt;&gt;"",Summary!A134,"")</f>
        <v/>
      </c>
      <c r="B133" s="21" t="str">
        <f>IF(Summary!J134&lt;&gt;"",Summary!J134,"")</f>
        <v/>
      </c>
      <c r="C133" s="44" t="str">
        <f>IF(Summary!E134+Summary!H134&gt;0,Summary!E134+Summary!H134,"")</f>
        <v/>
      </c>
      <c r="D133" s="40" t="str">
        <f>IF(Summary!L134&lt;&gt;"",Summary!L134,"")</f>
        <v/>
      </c>
      <c r="E133" s="40" t="str">
        <f>IF(Summary!M134&lt;&gt;"",Summary!M134,"")</f>
        <v/>
      </c>
      <c r="F133" s="20" t="str">
        <f>IF(Summary!N134&lt;&gt;"",Summary!N134,"")</f>
        <v/>
      </c>
      <c r="G133" s="20" t="str">
        <f>IF(Summary!O134&lt;&gt;"",Summary!O134,"")</f>
        <v/>
      </c>
    </row>
    <row r="134" spans="1:7">
      <c r="A134" s="39" t="str">
        <f>IF(Summary!A135&lt;&gt;"",Summary!A135,"")</f>
        <v/>
      </c>
      <c r="B134" s="21" t="str">
        <f>IF(Summary!J135&lt;&gt;"",Summary!J135,"")</f>
        <v/>
      </c>
      <c r="C134" s="44" t="str">
        <f>IF(Summary!E135+Summary!H135&gt;0,Summary!E135+Summary!H135,"")</f>
        <v/>
      </c>
      <c r="D134" s="40" t="str">
        <f>IF(Summary!L135&lt;&gt;"",Summary!L135,"")</f>
        <v/>
      </c>
      <c r="E134" s="40" t="str">
        <f>IF(Summary!M135&lt;&gt;"",Summary!M135,"")</f>
        <v/>
      </c>
      <c r="F134" s="20" t="str">
        <f>IF(Summary!N135&lt;&gt;"",Summary!N135,"")</f>
        <v/>
      </c>
      <c r="G134" s="20" t="str">
        <f>IF(Summary!O135&lt;&gt;"",Summary!O135,"")</f>
        <v/>
      </c>
    </row>
    <row r="135" spans="1:7">
      <c r="A135" s="39" t="str">
        <f>IF(Summary!A136&lt;&gt;"",Summary!A136,"")</f>
        <v/>
      </c>
      <c r="B135" s="21" t="str">
        <f>IF(Summary!J136&lt;&gt;"",Summary!J136,"")</f>
        <v/>
      </c>
      <c r="C135" s="44" t="str">
        <f>IF(Summary!E136+Summary!H136&gt;0,Summary!E136+Summary!H136,"")</f>
        <v/>
      </c>
      <c r="D135" s="40" t="str">
        <f>IF(Summary!L136&lt;&gt;"",Summary!L136,"")</f>
        <v/>
      </c>
      <c r="E135" s="40" t="str">
        <f>IF(Summary!M136&lt;&gt;"",Summary!M136,"")</f>
        <v/>
      </c>
      <c r="F135" s="20" t="str">
        <f>IF(Summary!N136&lt;&gt;"",Summary!N136,"")</f>
        <v/>
      </c>
      <c r="G135" s="20" t="str">
        <f>IF(Summary!O136&lt;&gt;"",Summary!O136,"")</f>
        <v/>
      </c>
    </row>
    <row r="136" spans="1:7">
      <c r="A136" s="39" t="str">
        <f>IF(Summary!A137&lt;&gt;"",Summary!A137,"")</f>
        <v/>
      </c>
      <c r="B136" s="21" t="str">
        <f>IF(Summary!J137&lt;&gt;"",Summary!J137,"")</f>
        <v/>
      </c>
      <c r="C136" s="44" t="str">
        <f>IF(Summary!E137+Summary!H137&gt;0,Summary!E137+Summary!H137,"")</f>
        <v/>
      </c>
      <c r="D136" s="40" t="str">
        <f>IF(Summary!L137&lt;&gt;"",Summary!L137,"")</f>
        <v/>
      </c>
      <c r="E136" s="40" t="str">
        <f>IF(Summary!M137&lt;&gt;"",Summary!M137,"")</f>
        <v/>
      </c>
      <c r="F136" s="20" t="str">
        <f>IF(Summary!N137&lt;&gt;"",Summary!N137,"")</f>
        <v/>
      </c>
      <c r="G136" s="20" t="str">
        <f>IF(Summary!O137&lt;&gt;"",Summary!O137,"")</f>
        <v/>
      </c>
    </row>
    <row r="137" spans="1:7">
      <c r="A137" s="39" t="str">
        <f>IF(Summary!A138&lt;&gt;"",Summary!A138,"")</f>
        <v/>
      </c>
      <c r="B137" s="21" t="str">
        <f>IF(Summary!J138&lt;&gt;"",Summary!J138,"")</f>
        <v/>
      </c>
      <c r="C137" s="44" t="str">
        <f>IF(Summary!E138+Summary!H138&gt;0,Summary!E138+Summary!H138,"")</f>
        <v/>
      </c>
      <c r="D137" s="40" t="str">
        <f>IF(Summary!L138&lt;&gt;"",Summary!L138,"")</f>
        <v/>
      </c>
      <c r="E137" s="40" t="str">
        <f>IF(Summary!M138&lt;&gt;"",Summary!M138,"")</f>
        <v/>
      </c>
      <c r="F137" s="20" t="str">
        <f>IF(Summary!N138&lt;&gt;"",Summary!N138,"")</f>
        <v/>
      </c>
      <c r="G137" s="20" t="str">
        <f>IF(Summary!O138&lt;&gt;"",Summary!O138,"")</f>
        <v/>
      </c>
    </row>
    <row r="138" spans="1:7">
      <c r="A138" s="39" t="str">
        <f>IF(Summary!A139&lt;&gt;"",Summary!A139,"")</f>
        <v/>
      </c>
      <c r="B138" s="21" t="str">
        <f>IF(Summary!J139&lt;&gt;"",Summary!J139,"")</f>
        <v/>
      </c>
      <c r="C138" s="44" t="str">
        <f>IF(Summary!E139+Summary!H139&gt;0,Summary!E139+Summary!H139,"")</f>
        <v/>
      </c>
      <c r="D138" s="40" t="str">
        <f>IF(Summary!L139&lt;&gt;"",Summary!L139,"")</f>
        <v/>
      </c>
      <c r="E138" s="40" t="str">
        <f>IF(Summary!M139&lt;&gt;"",Summary!M139,"")</f>
        <v/>
      </c>
      <c r="F138" s="20" t="str">
        <f>IF(Summary!N139&lt;&gt;"",Summary!N139,"")</f>
        <v/>
      </c>
      <c r="G138" s="20" t="str">
        <f>IF(Summary!O139&lt;&gt;"",Summary!O139,"")</f>
        <v/>
      </c>
    </row>
    <row r="139" spans="1:7">
      <c r="A139" s="39" t="str">
        <f>IF(Summary!A140&lt;&gt;"",Summary!A140,"")</f>
        <v/>
      </c>
      <c r="B139" s="21" t="str">
        <f>IF(Summary!J140&lt;&gt;"",Summary!J140,"")</f>
        <v/>
      </c>
      <c r="C139" s="44" t="str">
        <f>IF(Summary!E140+Summary!H140&gt;0,Summary!E140+Summary!H140,"")</f>
        <v/>
      </c>
      <c r="D139" s="40" t="str">
        <f>IF(Summary!L140&lt;&gt;"",Summary!L140,"")</f>
        <v/>
      </c>
      <c r="E139" s="40" t="str">
        <f>IF(Summary!M140&lt;&gt;"",Summary!M140,"")</f>
        <v/>
      </c>
      <c r="F139" s="20" t="str">
        <f>IF(Summary!N140&lt;&gt;"",Summary!N140,"")</f>
        <v/>
      </c>
      <c r="G139" s="20" t="str">
        <f>IF(Summary!O140&lt;&gt;"",Summary!O140,"")</f>
        <v/>
      </c>
    </row>
    <row r="140" spans="1:7">
      <c r="A140" s="39" t="str">
        <f>IF(Summary!A141&lt;&gt;"",Summary!A141,"")</f>
        <v/>
      </c>
      <c r="B140" s="21" t="str">
        <f>IF(Summary!J141&lt;&gt;"",Summary!J141,"")</f>
        <v/>
      </c>
      <c r="C140" s="44" t="str">
        <f>IF(Summary!E141+Summary!H141&gt;0,Summary!E141+Summary!H141,"")</f>
        <v/>
      </c>
      <c r="D140" s="40" t="str">
        <f>IF(Summary!L141&lt;&gt;"",Summary!L141,"")</f>
        <v/>
      </c>
      <c r="E140" s="40" t="str">
        <f>IF(Summary!M141&lt;&gt;"",Summary!M141,"")</f>
        <v/>
      </c>
      <c r="F140" s="20" t="str">
        <f>IF(Summary!N141&lt;&gt;"",Summary!N141,"")</f>
        <v/>
      </c>
      <c r="G140" s="20" t="str">
        <f>IF(Summary!O141&lt;&gt;"",Summary!O141,"")</f>
        <v/>
      </c>
    </row>
    <row r="141" spans="1:7">
      <c r="A141" s="39" t="str">
        <f>IF(Summary!A142&lt;&gt;"",Summary!A142,"")</f>
        <v/>
      </c>
      <c r="B141" s="21" t="str">
        <f>IF(Summary!J142&lt;&gt;"",Summary!J142,"")</f>
        <v/>
      </c>
      <c r="C141" s="44" t="str">
        <f>IF(Summary!E142+Summary!H142&gt;0,Summary!E142+Summary!H142,"")</f>
        <v/>
      </c>
      <c r="D141" s="40" t="str">
        <f>IF(Summary!L142&lt;&gt;"",Summary!L142,"")</f>
        <v/>
      </c>
      <c r="E141" s="40" t="str">
        <f>IF(Summary!M142&lt;&gt;"",Summary!M142,"")</f>
        <v/>
      </c>
      <c r="F141" s="20" t="str">
        <f>IF(Summary!N142&lt;&gt;"",Summary!N142,"")</f>
        <v/>
      </c>
      <c r="G141" s="20" t="str">
        <f>IF(Summary!O142&lt;&gt;"",Summary!O142,"")</f>
        <v/>
      </c>
    </row>
    <row r="142" spans="1:7">
      <c r="A142" s="39" t="str">
        <f>IF(Summary!A143&lt;&gt;"",Summary!A143,"")</f>
        <v/>
      </c>
      <c r="B142" s="21" t="str">
        <f>IF(Summary!J143&lt;&gt;"",Summary!J143,"")</f>
        <v/>
      </c>
      <c r="C142" s="44" t="str">
        <f>IF(Summary!E143+Summary!H143&gt;0,Summary!E143+Summary!H143,"")</f>
        <v/>
      </c>
      <c r="D142" s="40" t="str">
        <f>IF(Summary!L143&lt;&gt;"",Summary!L143,"")</f>
        <v/>
      </c>
      <c r="E142" s="40" t="str">
        <f>IF(Summary!M143&lt;&gt;"",Summary!M143,"")</f>
        <v/>
      </c>
      <c r="F142" s="20" t="str">
        <f>IF(Summary!N143&lt;&gt;"",Summary!N143,"")</f>
        <v/>
      </c>
      <c r="G142" s="20" t="str">
        <f>IF(Summary!O143&lt;&gt;"",Summary!O143,"")</f>
        <v/>
      </c>
    </row>
    <row r="143" spans="1:7">
      <c r="A143" s="39" t="str">
        <f>IF(Summary!A144&lt;&gt;"",Summary!A144,"")</f>
        <v/>
      </c>
      <c r="B143" s="21" t="str">
        <f>IF(Summary!J144&lt;&gt;"",Summary!J144,"")</f>
        <v/>
      </c>
      <c r="C143" s="44" t="str">
        <f>IF(Summary!E144+Summary!H144&gt;0,Summary!E144+Summary!H144,"")</f>
        <v/>
      </c>
      <c r="D143" s="40" t="str">
        <f>IF(Summary!L144&lt;&gt;"",Summary!L144,"")</f>
        <v/>
      </c>
      <c r="E143" s="40" t="str">
        <f>IF(Summary!M144&lt;&gt;"",Summary!M144,"")</f>
        <v/>
      </c>
      <c r="F143" s="20" t="str">
        <f>IF(Summary!N144&lt;&gt;"",Summary!N144,"")</f>
        <v/>
      </c>
      <c r="G143" s="20" t="str">
        <f>IF(Summary!O144&lt;&gt;"",Summary!O144,"")</f>
        <v/>
      </c>
    </row>
    <row r="144" spans="1:7">
      <c r="A144" s="39" t="str">
        <f>IF(Summary!A145&lt;&gt;"",Summary!A145,"")</f>
        <v/>
      </c>
      <c r="B144" s="21" t="str">
        <f>IF(Summary!J145&lt;&gt;"",Summary!J145,"")</f>
        <v/>
      </c>
      <c r="C144" s="44" t="str">
        <f>IF(Summary!E145+Summary!H145&gt;0,Summary!E145+Summary!H145,"")</f>
        <v/>
      </c>
      <c r="D144" s="40" t="str">
        <f>IF(Summary!L145&lt;&gt;"",Summary!L145,"")</f>
        <v/>
      </c>
      <c r="E144" s="40" t="str">
        <f>IF(Summary!M145&lt;&gt;"",Summary!M145,"")</f>
        <v/>
      </c>
      <c r="F144" s="20" t="str">
        <f>IF(Summary!N145&lt;&gt;"",Summary!N145,"")</f>
        <v/>
      </c>
      <c r="G144" s="20" t="str">
        <f>IF(Summary!O145&lt;&gt;"",Summary!O145,"")</f>
        <v/>
      </c>
    </row>
    <row r="145" spans="1:7">
      <c r="A145" s="39" t="str">
        <f>IF(Summary!A146&lt;&gt;"",Summary!A146,"")</f>
        <v/>
      </c>
      <c r="B145" s="21" t="str">
        <f>IF(Summary!J146&lt;&gt;"",Summary!J146,"")</f>
        <v/>
      </c>
      <c r="C145" s="44" t="str">
        <f>IF(Summary!E146+Summary!H146&gt;0,Summary!E146+Summary!H146,"")</f>
        <v/>
      </c>
      <c r="D145" s="40" t="str">
        <f>IF(Summary!L146&lt;&gt;"",Summary!L146,"")</f>
        <v/>
      </c>
      <c r="E145" s="40" t="str">
        <f>IF(Summary!M146&lt;&gt;"",Summary!M146,"")</f>
        <v/>
      </c>
      <c r="F145" s="20" t="str">
        <f>IF(Summary!N146&lt;&gt;"",Summary!N146,"")</f>
        <v/>
      </c>
      <c r="G145" s="20" t="str">
        <f>IF(Summary!O146&lt;&gt;"",Summary!O146,"")</f>
        <v/>
      </c>
    </row>
    <row r="146" spans="1:7">
      <c r="A146" s="39" t="str">
        <f>IF(Summary!A147&lt;&gt;"",Summary!A147,"")</f>
        <v/>
      </c>
      <c r="B146" s="21" t="str">
        <f>IF(Summary!J147&lt;&gt;"",Summary!J147,"")</f>
        <v/>
      </c>
      <c r="C146" s="44" t="str">
        <f>IF(Summary!E147+Summary!H147&gt;0,Summary!E147+Summary!H147,"")</f>
        <v/>
      </c>
      <c r="D146" s="40" t="str">
        <f>IF(Summary!L147&lt;&gt;"",Summary!L147,"")</f>
        <v/>
      </c>
      <c r="E146" s="40" t="str">
        <f>IF(Summary!M147&lt;&gt;"",Summary!M147,"")</f>
        <v/>
      </c>
      <c r="F146" s="20" t="str">
        <f>IF(Summary!N147&lt;&gt;"",Summary!N147,"")</f>
        <v/>
      </c>
      <c r="G146" s="20" t="str">
        <f>IF(Summary!O147&lt;&gt;"",Summary!O147,"")</f>
        <v/>
      </c>
    </row>
    <row r="147" spans="1:7">
      <c r="A147" s="39" t="str">
        <f>IF(Summary!A148&lt;&gt;"",Summary!A148,"")</f>
        <v/>
      </c>
      <c r="B147" s="21" t="str">
        <f>IF(Summary!J148&lt;&gt;"",Summary!J148,"")</f>
        <v/>
      </c>
      <c r="C147" s="44" t="str">
        <f>IF(Summary!E148+Summary!H148&gt;0,Summary!E148+Summary!H148,"")</f>
        <v/>
      </c>
      <c r="D147" s="40" t="str">
        <f>IF(Summary!L148&lt;&gt;"",Summary!L148,"")</f>
        <v/>
      </c>
      <c r="E147" s="40" t="str">
        <f>IF(Summary!M148&lt;&gt;"",Summary!M148,"")</f>
        <v/>
      </c>
      <c r="F147" s="20" t="str">
        <f>IF(Summary!N148&lt;&gt;"",Summary!N148,"")</f>
        <v/>
      </c>
      <c r="G147" s="20" t="str">
        <f>IF(Summary!O148&lt;&gt;"",Summary!O148,"")</f>
        <v/>
      </c>
    </row>
    <row r="148" spans="1:7">
      <c r="A148" s="39" t="str">
        <f>IF(Summary!A149&lt;&gt;"",Summary!A149,"")</f>
        <v/>
      </c>
      <c r="B148" s="21" t="str">
        <f>IF(Summary!J149&lt;&gt;"",Summary!J149,"")</f>
        <v/>
      </c>
      <c r="C148" s="44" t="str">
        <f>IF(Summary!E149+Summary!H149&gt;0,Summary!E149+Summary!H149,"")</f>
        <v/>
      </c>
      <c r="D148" s="40" t="str">
        <f>IF(Summary!L149&lt;&gt;"",Summary!L149,"")</f>
        <v/>
      </c>
      <c r="E148" s="40" t="str">
        <f>IF(Summary!M149&lt;&gt;"",Summary!M149,"")</f>
        <v/>
      </c>
      <c r="F148" s="20" t="str">
        <f>IF(Summary!N149&lt;&gt;"",Summary!N149,"")</f>
        <v/>
      </c>
      <c r="G148" s="20" t="str">
        <f>IF(Summary!O149&lt;&gt;"",Summary!O149,"")</f>
        <v/>
      </c>
    </row>
    <row r="149" spans="1:7">
      <c r="A149" s="39" t="str">
        <f>IF(Summary!A150&lt;&gt;"",Summary!A150,"")</f>
        <v/>
      </c>
      <c r="B149" s="21" t="str">
        <f>IF(Summary!J150&lt;&gt;"",Summary!J150,"")</f>
        <v/>
      </c>
      <c r="C149" s="44" t="str">
        <f>IF(Summary!E150+Summary!H150&gt;0,Summary!E150+Summary!H150,"")</f>
        <v/>
      </c>
      <c r="D149" s="40" t="str">
        <f>IF(Summary!L150&lt;&gt;"",Summary!L150,"")</f>
        <v/>
      </c>
      <c r="E149" s="40" t="str">
        <f>IF(Summary!M150&lt;&gt;"",Summary!M150,"")</f>
        <v/>
      </c>
      <c r="F149" s="20" t="str">
        <f>IF(Summary!N150&lt;&gt;"",Summary!N150,"")</f>
        <v/>
      </c>
      <c r="G149" s="20" t="str">
        <f>IF(Summary!O150&lt;&gt;"",Summary!O150,"")</f>
        <v/>
      </c>
    </row>
    <row r="150" spans="1:7">
      <c r="A150" s="39" t="str">
        <f>IF(Summary!A151&lt;&gt;"",Summary!A151,"")</f>
        <v/>
      </c>
      <c r="B150" s="21" t="str">
        <f>IF(Summary!J151&lt;&gt;"",Summary!J151,"")</f>
        <v/>
      </c>
      <c r="C150" s="44" t="str">
        <f>IF(Summary!E151+Summary!H151&gt;0,Summary!E151+Summary!H151,"")</f>
        <v/>
      </c>
      <c r="D150" s="40" t="str">
        <f>IF(Summary!L151&lt;&gt;"",Summary!L151,"")</f>
        <v/>
      </c>
      <c r="E150" s="40" t="str">
        <f>IF(Summary!M151&lt;&gt;"",Summary!M151,"")</f>
        <v/>
      </c>
      <c r="F150" s="20" t="str">
        <f>IF(Summary!N151&lt;&gt;"",Summary!N151,"")</f>
        <v/>
      </c>
      <c r="G150" s="20" t="str">
        <f>IF(Summary!O151&lt;&gt;"",Summary!O151,"")</f>
        <v/>
      </c>
    </row>
    <row r="151" spans="1:7">
      <c r="A151" s="39" t="str">
        <f>IF(Summary!A152&lt;&gt;"",Summary!A152,"")</f>
        <v/>
      </c>
      <c r="B151" s="21" t="str">
        <f>IF(Summary!J152&lt;&gt;"",Summary!J152,"")</f>
        <v/>
      </c>
      <c r="C151" s="44" t="str">
        <f>IF(Summary!E152+Summary!H152&gt;0,Summary!E152+Summary!H152,"")</f>
        <v/>
      </c>
      <c r="D151" s="40" t="str">
        <f>IF(Summary!L152&lt;&gt;"",Summary!L152,"")</f>
        <v/>
      </c>
      <c r="E151" s="40" t="str">
        <f>IF(Summary!M152&lt;&gt;"",Summary!M152,"")</f>
        <v/>
      </c>
      <c r="F151" s="20" t="str">
        <f>IF(Summary!N152&lt;&gt;"",Summary!N152,"")</f>
        <v/>
      </c>
      <c r="G151" s="20" t="str">
        <f>IF(Summary!O152&lt;&gt;"",Summary!O152,"")</f>
        <v/>
      </c>
    </row>
    <row r="152" spans="1:7">
      <c r="A152" s="39" t="str">
        <f>IF(Summary!A153&lt;&gt;"",Summary!A153,"")</f>
        <v/>
      </c>
      <c r="B152" s="21" t="str">
        <f>IF(Summary!J153&lt;&gt;"",Summary!J153,"")</f>
        <v/>
      </c>
      <c r="C152" s="44" t="str">
        <f>IF(Summary!E153+Summary!H153&gt;0,Summary!E153+Summary!H153,"")</f>
        <v/>
      </c>
      <c r="D152" s="40" t="str">
        <f>IF(Summary!L153&lt;&gt;"",Summary!L153,"")</f>
        <v/>
      </c>
      <c r="E152" s="40" t="str">
        <f>IF(Summary!M153&lt;&gt;"",Summary!M153,"")</f>
        <v/>
      </c>
      <c r="F152" s="20" t="str">
        <f>IF(Summary!N153&lt;&gt;"",Summary!N153,"")</f>
        <v/>
      </c>
      <c r="G152" s="20" t="str">
        <f>IF(Summary!O153&lt;&gt;"",Summary!O153,"")</f>
        <v/>
      </c>
    </row>
    <row r="153" spans="1:7">
      <c r="A153" s="39" t="str">
        <f>IF(Summary!A154&lt;&gt;"",Summary!A154,"")</f>
        <v/>
      </c>
      <c r="B153" s="21" t="str">
        <f>IF(Summary!J154&lt;&gt;"",Summary!J154,"")</f>
        <v/>
      </c>
      <c r="C153" s="44" t="str">
        <f>IF(Summary!E154+Summary!H154&gt;0,Summary!E154+Summary!H154,"")</f>
        <v/>
      </c>
      <c r="D153" s="40" t="str">
        <f>IF(Summary!L154&lt;&gt;"",Summary!L154,"")</f>
        <v/>
      </c>
      <c r="E153" s="40" t="str">
        <f>IF(Summary!M154&lt;&gt;"",Summary!M154,"")</f>
        <v/>
      </c>
      <c r="F153" s="20" t="str">
        <f>IF(Summary!N154&lt;&gt;"",Summary!N154,"")</f>
        <v/>
      </c>
      <c r="G153" s="20" t="str">
        <f>IF(Summary!O154&lt;&gt;"",Summary!O154,"")</f>
        <v/>
      </c>
    </row>
    <row r="154" spans="1:7">
      <c r="A154" s="39" t="str">
        <f>IF(Summary!A155&lt;&gt;"",Summary!A155,"")</f>
        <v/>
      </c>
      <c r="B154" s="21" t="str">
        <f>IF(Summary!J155&lt;&gt;"",Summary!J155,"")</f>
        <v/>
      </c>
      <c r="C154" s="44" t="str">
        <f>IF(Summary!E155+Summary!H155&gt;0,Summary!E155+Summary!H155,"")</f>
        <v/>
      </c>
      <c r="D154" s="40" t="str">
        <f>IF(Summary!L155&lt;&gt;"",Summary!L155,"")</f>
        <v/>
      </c>
      <c r="E154" s="40" t="str">
        <f>IF(Summary!M155&lt;&gt;"",Summary!M155,"")</f>
        <v/>
      </c>
      <c r="F154" s="20" t="str">
        <f>IF(Summary!N155&lt;&gt;"",Summary!N155,"")</f>
        <v/>
      </c>
      <c r="G154" s="20" t="str">
        <f>IF(Summary!O155&lt;&gt;"",Summary!O155,"")</f>
        <v/>
      </c>
    </row>
    <row r="155" spans="1:7">
      <c r="A155" s="39" t="str">
        <f>IF(Summary!A156&lt;&gt;"",Summary!A156,"")</f>
        <v/>
      </c>
      <c r="B155" s="21" t="str">
        <f>IF(Summary!J156&lt;&gt;"",Summary!J156,"")</f>
        <v/>
      </c>
      <c r="C155" s="44" t="str">
        <f>IF(Summary!E156+Summary!H156&gt;0,Summary!E156+Summary!H156,"")</f>
        <v/>
      </c>
      <c r="D155" s="40" t="str">
        <f>IF(Summary!L156&lt;&gt;"",Summary!L156,"")</f>
        <v/>
      </c>
      <c r="E155" s="40" t="str">
        <f>IF(Summary!M156&lt;&gt;"",Summary!M156,"")</f>
        <v/>
      </c>
      <c r="F155" s="20" t="str">
        <f>IF(Summary!N156&lt;&gt;"",Summary!N156,"")</f>
        <v/>
      </c>
      <c r="G155" s="20" t="str">
        <f>IF(Summary!O156&lt;&gt;"",Summary!O156,"")</f>
        <v/>
      </c>
    </row>
    <row r="156" spans="1:7">
      <c r="A156" s="39" t="str">
        <f>IF(Summary!A157&lt;&gt;"",Summary!A157,"")</f>
        <v/>
      </c>
      <c r="B156" s="21" t="str">
        <f>IF(Summary!J157&lt;&gt;"",Summary!J157,"")</f>
        <v/>
      </c>
      <c r="C156" s="44" t="str">
        <f>IF(Summary!E157+Summary!H157&gt;0,Summary!E157+Summary!H157,"")</f>
        <v/>
      </c>
      <c r="D156" s="40" t="str">
        <f>IF(Summary!L157&lt;&gt;"",Summary!L157,"")</f>
        <v/>
      </c>
      <c r="E156" s="40" t="str">
        <f>IF(Summary!M157&lt;&gt;"",Summary!M157,"")</f>
        <v/>
      </c>
      <c r="F156" s="20" t="str">
        <f>IF(Summary!N157&lt;&gt;"",Summary!N157,"")</f>
        <v/>
      </c>
      <c r="G156" s="20" t="str">
        <f>IF(Summary!O157&lt;&gt;"",Summary!O157,"")</f>
        <v/>
      </c>
    </row>
    <row r="157" spans="1:7">
      <c r="A157" s="39" t="str">
        <f>IF(Summary!A158&lt;&gt;"",Summary!A158,"")</f>
        <v/>
      </c>
      <c r="B157" s="21" t="str">
        <f>IF(Summary!J158&lt;&gt;"",Summary!J158,"")</f>
        <v/>
      </c>
      <c r="C157" s="44" t="str">
        <f>IF(Summary!E158+Summary!H158&gt;0,Summary!E158+Summary!H158,"")</f>
        <v/>
      </c>
      <c r="D157" s="40" t="str">
        <f>IF(Summary!L158&lt;&gt;"",Summary!L158,"")</f>
        <v/>
      </c>
      <c r="E157" s="40" t="str">
        <f>IF(Summary!M158&lt;&gt;"",Summary!M158,"")</f>
        <v/>
      </c>
      <c r="F157" s="20" t="str">
        <f>IF(Summary!N158&lt;&gt;"",Summary!N158,"")</f>
        <v/>
      </c>
      <c r="G157" s="20" t="str">
        <f>IF(Summary!O158&lt;&gt;"",Summary!O158,"")</f>
        <v/>
      </c>
    </row>
    <row r="158" spans="1:7">
      <c r="A158" s="39" t="str">
        <f>IF(Summary!A159&lt;&gt;"",Summary!A159,"")</f>
        <v/>
      </c>
      <c r="B158" s="21" t="str">
        <f>IF(Summary!J159&lt;&gt;"",Summary!J159,"")</f>
        <v/>
      </c>
      <c r="C158" s="44" t="str">
        <f>IF(Summary!E159+Summary!H159&gt;0,Summary!E159+Summary!H159,"")</f>
        <v/>
      </c>
      <c r="D158" s="40" t="str">
        <f>IF(Summary!L159&lt;&gt;"",Summary!L159,"")</f>
        <v/>
      </c>
      <c r="E158" s="40" t="str">
        <f>IF(Summary!M159&lt;&gt;"",Summary!M159,"")</f>
        <v/>
      </c>
      <c r="F158" s="20" t="str">
        <f>IF(Summary!N159&lt;&gt;"",Summary!N159,"")</f>
        <v/>
      </c>
      <c r="G158" s="20" t="str">
        <f>IF(Summary!O159&lt;&gt;"",Summary!O159,"")</f>
        <v/>
      </c>
    </row>
    <row r="159" spans="1:7">
      <c r="A159" s="39" t="str">
        <f>IF(Summary!A160&lt;&gt;"",Summary!A160,"")</f>
        <v/>
      </c>
      <c r="B159" s="21" t="str">
        <f>IF(Summary!J160&lt;&gt;"",Summary!J160,"")</f>
        <v/>
      </c>
      <c r="C159" s="44" t="str">
        <f>IF(Summary!E160+Summary!H160&gt;0,Summary!E160+Summary!H160,"")</f>
        <v/>
      </c>
      <c r="D159" s="40" t="str">
        <f>IF(Summary!L160&lt;&gt;"",Summary!L160,"")</f>
        <v/>
      </c>
      <c r="E159" s="40" t="str">
        <f>IF(Summary!M160&lt;&gt;"",Summary!M160,"")</f>
        <v/>
      </c>
      <c r="F159" s="20" t="str">
        <f>IF(Summary!N160&lt;&gt;"",Summary!N160,"")</f>
        <v/>
      </c>
      <c r="G159" s="20" t="str">
        <f>IF(Summary!O160&lt;&gt;"",Summary!O160,"")</f>
        <v/>
      </c>
    </row>
    <row r="160" spans="1:7">
      <c r="A160" s="39" t="str">
        <f>IF(Summary!A161&lt;&gt;"",Summary!A161,"")</f>
        <v/>
      </c>
      <c r="B160" s="21" t="str">
        <f>IF(Summary!J161&lt;&gt;"",Summary!J161,"")</f>
        <v/>
      </c>
      <c r="C160" s="44" t="str">
        <f>IF(Summary!E161+Summary!H161&gt;0,Summary!E161+Summary!H161,"")</f>
        <v/>
      </c>
      <c r="D160" s="40" t="str">
        <f>IF(Summary!L161&lt;&gt;"",Summary!L161,"")</f>
        <v/>
      </c>
      <c r="E160" s="40" t="str">
        <f>IF(Summary!M161&lt;&gt;"",Summary!M161,"")</f>
        <v/>
      </c>
      <c r="F160" s="20" t="str">
        <f>IF(Summary!N161&lt;&gt;"",Summary!N161,"")</f>
        <v/>
      </c>
      <c r="G160" s="20" t="str">
        <f>IF(Summary!O161&lt;&gt;"",Summary!O161,"")</f>
        <v/>
      </c>
    </row>
    <row r="161" spans="1:7">
      <c r="A161" s="39" t="str">
        <f>IF(Summary!A162&lt;&gt;"",Summary!A162,"")</f>
        <v/>
      </c>
      <c r="B161" s="21" t="str">
        <f>IF(Summary!J162&lt;&gt;"",Summary!J162,"")</f>
        <v/>
      </c>
      <c r="C161" s="44" t="str">
        <f>IF(Summary!E162+Summary!H162&gt;0,Summary!E162+Summary!H162,"")</f>
        <v/>
      </c>
      <c r="D161" s="40" t="str">
        <f>IF(Summary!L162&lt;&gt;"",Summary!L162,"")</f>
        <v/>
      </c>
      <c r="E161" s="40" t="str">
        <f>IF(Summary!M162&lt;&gt;"",Summary!M162,"")</f>
        <v/>
      </c>
      <c r="F161" s="20" t="str">
        <f>IF(Summary!N162&lt;&gt;"",Summary!N162,"")</f>
        <v/>
      </c>
      <c r="G161" s="20" t="str">
        <f>IF(Summary!O162&lt;&gt;"",Summary!O162,"")</f>
        <v/>
      </c>
    </row>
    <row r="162" spans="1:7">
      <c r="A162" s="39" t="str">
        <f>IF(Summary!A163&lt;&gt;"",Summary!A163,"")</f>
        <v/>
      </c>
      <c r="B162" s="21" t="str">
        <f>IF(Summary!J163&lt;&gt;"",Summary!J163,"")</f>
        <v/>
      </c>
      <c r="C162" s="44" t="str">
        <f>IF(Summary!E163+Summary!H163&gt;0,Summary!E163+Summary!H163,"")</f>
        <v/>
      </c>
      <c r="D162" s="40" t="str">
        <f>IF(Summary!L163&lt;&gt;"",Summary!L163,"")</f>
        <v/>
      </c>
      <c r="E162" s="40" t="str">
        <f>IF(Summary!M163&lt;&gt;"",Summary!M163,"")</f>
        <v/>
      </c>
      <c r="F162" s="20" t="str">
        <f>IF(Summary!N163&lt;&gt;"",Summary!N163,"")</f>
        <v/>
      </c>
      <c r="G162" s="20" t="str">
        <f>IF(Summary!O163&lt;&gt;"",Summary!O163,"")</f>
        <v/>
      </c>
    </row>
    <row r="163" spans="1:7">
      <c r="A163" s="39" t="str">
        <f>IF(Summary!A164&lt;&gt;"",Summary!A164,"")</f>
        <v/>
      </c>
      <c r="B163" s="21" t="str">
        <f>IF(Summary!J164&lt;&gt;"",Summary!J164,"")</f>
        <v/>
      </c>
      <c r="C163" s="44" t="str">
        <f>IF(Summary!E164+Summary!H164&gt;0,Summary!E164+Summary!H164,"")</f>
        <v/>
      </c>
      <c r="D163" s="40" t="str">
        <f>IF(Summary!L164&lt;&gt;"",Summary!L164,"")</f>
        <v/>
      </c>
      <c r="E163" s="40" t="str">
        <f>IF(Summary!M164&lt;&gt;"",Summary!M164,"")</f>
        <v/>
      </c>
      <c r="F163" s="20" t="str">
        <f>IF(Summary!N164&lt;&gt;"",Summary!N164,"")</f>
        <v/>
      </c>
      <c r="G163" s="20" t="str">
        <f>IF(Summary!O164&lt;&gt;"",Summary!O164,"")</f>
        <v/>
      </c>
    </row>
    <row r="164" spans="1:7">
      <c r="A164" s="39" t="str">
        <f>IF(Summary!A165&lt;&gt;"",Summary!A165,"")</f>
        <v/>
      </c>
      <c r="B164" s="21" t="str">
        <f>IF(Summary!J165&lt;&gt;"",Summary!J165,"")</f>
        <v/>
      </c>
      <c r="C164" s="44" t="str">
        <f>IF(Summary!E165+Summary!H165&gt;0,Summary!E165+Summary!H165,"")</f>
        <v/>
      </c>
      <c r="D164" s="40" t="str">
        <f>IF(Summary!L165&lt;&gt;"",Summary!L165,"")</f>
        <v/>
      </c>
      <c r="E164" s="40" t="str">
        <f>IF(Summary!M165&lt;&gt;"",Summary!M165,"")</f>
        <v/>
      </c>
      <c r="F164" s="20" t="str">
        <f>IF(Summary!N165&lt;&gt;"",Summary!N165,"")</f>
        <v/>
      </c>
      <c r="G164" s="20" t="str">
        <f>IF(Summary!O165&lt;&gt;"",Summary!O165,"")</f>
        <v/>
      </c>
    </row>
    <row r="165" spans="1:7">
      <c r="A165" s="39" t="str">
        <f>IF(Summary!A166&lt;&gt;"",Summary!A166,"")</f>
        <v/>
      </c>
      <c r="B165" s="21" t="str">
        <f>IF(Summary!J166&lt;&gt;"",Summary!J166,"")</f>
        <v/>
      </c>
      <c r="C165" s="44" t="str">
        <f>IF(Summary!E166+Summary!H166&gt;0,Summary!E166+Summary!H166,"")</f>
        <v/>
      </c>
      <c r="D165" s="40" t="str">
        <f>IF(Summary!L166&lt;&gt;"",Summary!L166,"")</f>
        <v/>
      </c>
      <c r="E165" s="40" t="str">
        <f>IF(Summary!M166&lt;&gt;"",Summary!M166,"")</f>
        <v/>
      </c>
      <c r="F165" s="20" t="str">
        <f>IF(Summary!N166&lt;&gt;"",Summary!N166,"")</f>
        <v/>
      </c>
      <c r="G165" s="20" t="str">
        <f>IF(Summary!O166&lt;&gt;"",Summary!O166,"")</f>
        <v/>
      </c>
    </row>
    <row r="166" spans="1:7">
      <c r="A166" s="39" t="str">
        <f>IF(Summary!A167&lt;&gt;"",Summary!A167,"")</f>
        <v/>
      </c>
      <c r="B166" s="21" t="str">
        <f>IF(Summary!J167&lt;&gt;"",Summary!J167,"")</f>
        <v/>
      </c>
      <c r="C166" s="44" t="str">
        <f>IF(Summary!E167+Summary!H167&gt;0,Summary!E167+Summary!H167,"")</f>
        <v/>
      </c>
      <c r="D166" s="40" t="str">
        <f>IF(Summary!L167&lt;&gt;"",Summary!L167,"")</f>
        <v/>
      </c>
      <c r="E166" s="40" t="str">
        <f>IF(Summary!M167&lt;&gt;"",Summary!M167,"")</f>
        <v/>
      </c>
      <c r="F166" s="20" t="str">
        <f>IF(Summary!N167&lt;&gt;"",Summary!N167,"")</f>
        <v/>
      </c>
      <c r="G166" s="20" t="str">
        <f>IF(Summary!O167&lt;&gt;"",Summary!O167,"")</f>
        <v/>
      </c>
    </row>
    <row r="167" spans="1:7">
      <c r="A167" s="39" t="str">
        <f>IF(Summary!A168&lt;&gt;"",Summary!A168,"")</f>
        <v/>
      </c>
      <c r="B167" s="21" t="str">
        <f>IF(Summary!J168&lt;&gt;"",Summary!J168,"")</f>
        <v/>
      </c>
      <c r="C167" s="44" t="str">
        <f>IF(Summary!E168+Summary!H168&gt;0,Summary!E168+Summary!H168,"")</f>
        <v/>
      </c>
      <c r="D167" s="40" t="str">
        <f>IF(Summary!L168&lt;&gt;"",Summary!L168,"")</f>
        <v/>
      </c>
      <c r="E167" s="40" t="str">
        <f>IF(Summary!M168&lt;&gt;"",Summary!M168,"")</f>
        <v/>
      </c>
      <c r="F167" s="20" t="str">
        <f>IF(Summary!N168&lt;&gt;"",Summary!N168,"")</f>
        <v/>
      </c>
      <c r="G167" s="20" t="str">
        <f>IF(Summary!O168&lt;&gt;"",Summary!O168,"")</f>
        <v/>
      </c>
    </row>
    <row r="168" spans="1:7">
      <c r="A168" s="39" t="str">
        <f>IF(Summary!A169&lt;&gt;"",Summary!A169,"")</f>
        <v/>
      </c>
      <c r="B168" s="21" t="str">
        <f>IF(Summary!J169&lt;&gt;"",Summary!J169,"")</f>
        <v/>
      </c>
      <c r="C168" s="44" t="str">
        <f>IF(Summary!E169+Summary!H169&gt;0,Summary!E169+Summary!H169,"")</f>
        <v/>
      </c>
      <c r="D168" s="40" t="str">
        <f>IF(Summary!L169&lt;&gt;"",Summary!L169,"")</f>
        <v/>
      </c>
      <c r="E168" s="40" t="str">
        <f>IF(Summary!M169&lt;&gt;"",Summary!M169,"")</f>
        <v/>
      </c>
      <c r="F168" s="20" t="str">
        <f>IF(Summary!N169&lt;&gt;"",Summary!N169,"")</f>
        <v/>
      </c>
      <c r="G168" s="20" t="str">
        <f>IF(Summary!O169&lt;&gt;"",Summary!O169,"")</f>
        <v/>
      </c>
    </row>
    <row r="169" spans="1:7">
      <c r="A169" s="39" t="str">
        <f>IF(Summary!A170&lt;&gt;"",Summary!A170,"")</f>
        <v/>
      </c>
      <c r="B169" s="21" t="str">
        <f>IF(Summary!J170&lt;&gt;"",Summary!J170,"")</f>
        <v/>
      </c>
      <c r="C169" s="44" t="str">
        <f>IF(Summary!E170+Summary!H170&gt;0,Summary!E170+Summary!H170,"")</f>
        <v/>
      </c>
      <c r="D169" s="40" t="str">
        <f>IF(Summary!L170&lt;&gt;"",Summary!L170,"")</f>
        <v/>
      </c>
      <c r="E169" s="40" t="str">
        <f>IF(Summary!M170&lt;&gt;"",Summary!M170,"")</f>
        <v/>
      </c>
      <c r="F169" s="20" t="str">
        <f>IF(Summary!N170&lt;&gt;"",Summary!N170,"")</f>
        <v/>
      </c>
      <c r="G169" s="20" t="str">
        <f>IF(Summary!O170&lt;&gt;"",Summary!O170,"")</f>
        <v/>
      </c>
    </row>
    <row r="170" spans="1:7">
      <c r="A170" s="39" t="str">
        <f>IF(Summary!A171&lt;&gt;"",Summary!A171,"")</f>
        <v/>
      </c>
      <c r="B170" s="21" t="str">
        <f>IF(Summary!J171&lt;&gt;"",Summary!J171,"")</f>
        <v/>
      </c>
      <c r="C170" s="44" t="str">
        <f>IF(Summary!E171+Summary!H171&gt;0,Summary!E171+Summary!H171,"")</f>
        <v/>
      </c>
      <c r="D170" s="40" t="str">
        <f>IF(Summary!L171&lt;&gt;"",Summary!L171,"")</f>
        <v/>
      </c>
      <c r="E170" s="40" t="str">
        <f>IF(Summary!M171&lt;&gt;"",Summary!M171,"")</f>
        <v/>
      </c>
      <c r="F170" s="20" t="str">
        <f>IF(Summary!N171&lt;&gt;"",Summary!N171,"")</f>
        <v/>
      </c>
      <c r="G170" s="20" t="str">
        <f>IF(Summary!O171&lt;&gt;"",Summary!O171,"")</f>
        <v/>
      </c>
    </row>
    <row r="171" spans="1:7">
      <c r="A171" s="39" t="str">
        <f>IF(Summary!A172&lt;&gt;"",Summary!A172,"")</f>
        <v/>
      </c>
      <c r="B171" s="21" t="str">
        <f>IF(Summary!J172&lt;&gt;"",Summary!J172,"")</f>
        <v/>
      </c>
      <c r="C171" s="44" t="str">
        <f>IF(Summary!E172+Summary!H172&gt;0,Summary!E172+Summary!H172,"")</f>
        <v/>
      </c>
      <c r="D171" s="40" t="str">
        <f>IF(Summary!L172&lt;&gt;"",Summary!L172,"")</f>
        <v/>
      </c>
      <c r="E171" s="40" t="str">
        <f>IF(Summary!M172&lt;&gt;"",Summary!M172,"")</f>
        <v/>
      </c>
      <c r="F171" s="20" t="str">
        <f>IF(Summary!N172&lt;&gt;"",Summary!N172,"")</f>
        <v/>
      </c>
      <c r="G171" s="20" t="str">
        <f>IF(Summary!O172&lt;&gt;"",Summary!O172,"")</f>
        <v/>
      </c>
    </row>
    <row r="172" spans="1:7">
      <c r="A172" s="39" t="str">
        <f>IF(Summary!A173&lt;&gt;"",Summary!A173,"")</f>
        <v/>
      </c>
      <c r="B172" s="21" t="str">
        <f>IF(Summary!J173&lt;&gt;"",Summary!J173,"")</f>
        <v/>
      </c>
      <c r="C172" s="44" t="str">
        <f>IF(Summary!E173+Summary!H173&gt;0,Summary!E173+Summary!H173,"")</f>
        <v/>
      </c>
      <c r="D172" s="40" t="str">
        <f>IF(Summary!L173&lt;&gt;"",Summary!L173,"")</f>
        <v/>
      </c>
      <c r="E172" s="40" t="str">
        <f>IF(Summary!M173&lt;&gt;"",Summary!M173,"")</f>
        <v/>
      </c>
      <c r="F172" s="20" t="str">
        <f>IF(Summary!N173&lt;&gt;"",Summary!N173,"")</f>
        <v/>
      </c>
      <c r="G172" s="20" t="str">
        <f>IF(Summary!O173&lt;&gt;"",Summary!O173,"")</f>
        <v/>
      </c>
    </row>
    <row r="173" spans="1:7">
      <c r="A173" s="39" t="str">
        <f>IF(Summary!A174&lt;&gt;"",Summary!A174,"")</f>
        <v/>
      </c>
      <c r="B173" s="21" t="str">
        <f>IF(Summary!J174&lt;&gt;"",Summary!J174,"")</f>
        <v/>
      </c>
      <c r="C173" s="44" t="str">
        <f>IF(Summary!E174+Summary!H174&gt;0,Summary!E174+Summary!H174,"")</f>
        <v/>
      </c>
      <c r="D173" s="40" t="str">
        <f>IF(Summary!L174&lt;&gt;"",Summary!L174,"")</f>
        <v/>
      </c>
      <c r="E173" s="40" t="str">
        <f>IF(Summary!M174&lt;&gt;"",Summary!M174,"")</f>
        <v/>
      </c>
      <c r="F173" s="20" t="str">
        <f>IF(Summary!N174&lt;&gt;"",Summary!N174,"")</f>
        <v/>
      </c>
      <c r="G173" s="20" t="str">
        <f>IF(Summary!O174&lt;&gt;"",Summary!O174,"")</f>
        <v/>
      </c>
    </row>
    <row r="174" spans="1:7">
      <c r="A174" s="39" t="str">
        <f>IF(Summary!A175&lt;&gt;"",Summary!A175,"")</f>
        <v/>
      </c>
      <c r="B174" s="21" t="str">
        <f>IF(Summary!J175&lt;&gt;"",Summary!J175,"")</f>
        <v/>
      </c>
      <c r="C174" s="44" t="str">
        <f>IF(Summary!E175+Summary!H175&gt;0,Summary!E175+Summary!H175,"")</f>
        <v/>
      </c>
      <c r="D174" s="40" t="str">
        <f>IF(Summary!L175&lt;&gt;"",Summary!L175,"")</f>
        <v/>
      </c>
      <c r="E174" s="40" t="str">
        <f>IF(Summary!M175&lt;&gt;"",Summary!M175,"")</f>
        <v/>
      </c>
      <c r="F174" s="20" t="str">
        <f>IF(Summary!N175&lt;&gt;"",Summary!N175,"")</f>
        <v/>
      </c>
      <c r="G174" s="20" t="str">
        <f>IF(Summary!O175&lt;&gt;"",Summary!O175,"")</f>
        <v/>
      </c>
    </row>
    <row r="175" spans="1:7">
      <c r="A175" s="39" t="str">
        <f>IF(Summary!A176&lt;&gt;"",Summary!A176,"")</f>
        <v/>
      </c>
      <c r="B175" s="21" t="str">
        <f>IF(Summary!J176&lt;&gt;"",Summary!J176,"")</f>
        <v/>
      </c>
      <c r="C175" s="44" t="str">
        <f>IF(Summary!E176+Summary!H176&gt;0,Summary!E176+Summary!H176,"")</f>
        <v/>
      </c>
      <c r="D175" s="40" t="str">
        <f>IF(Summary!L176&lt;&gt;"",Summary!L176,"")</f>
        <v/>
      </c>
      <c r="E175" s="40" t="str">
        <f>IF(Summary!M176&lt;&gt;"",Summary!M176,"")</f>
        <v/>
      </c>
      <c r="F175" s="20" t="str">
        <f>IF(Summary!N176&lt;&gt;"",Summary!N176,"")</f>
        <v/>
      </c>
      <c r="G175" s="20" t="str">
        <f>IF(Summary!O176&lt;&gt;"",Summary!O176,"")</f>
        <v/>
      </c>
    </row>
    <row r="176" spans="1:7">
      <c r="A176" s="39" t="str">
        <f>IF(Summary!A177&lt;&gt;"",Summary!A177,"")</f>
        <v/>
      </c>
      <c r="B176" s="21" t="str">
        <f>IF(Summary!J177&lt;&gt;"",Summary!J177,"")</f>
        <v/>
      </c>
      <c r="C176" s="44" t="str">
        <f>IF(Summary!E177+Summary!H177&gt;0,Summary!E177+Summary!H177,"")</f>
        <v/>
      </c>
      <c r="D176" s="40" t="str">
        <f>IF(Summary!L177&lt;&gt;"",Summary!L177,"")</f>
        <v/>
      </c>
      <c r="E176" s="40" t="str">
        <f>IF(Summary!M177&lt;&gt;"",Summary!M177,"")</f>
        <v/>
      </c>
      <c r="F176" s="20" t="str">
        <f>IF(Summary!N177&lt;&gt;"",Summary!N177,"")</f>
        <v/>
      </c>
      <c r="G176" s="20" t="str">
        <f>IF(Summary!O177&lt;&gt;"",Summary!O177,"")</f>
        <v/>
      </c>
    </row>
    <row r="177" spans="1:7">
      <c r="A177" s="39" t="str">
        <f>IF(Summary!A178&lt;&gt;"",Summary!A178,"")</f>
        <v/>
      </c>
      <c r="B177" s="21" t="str">
        <f>IF(Summary!J178&lt;&gt;"",Summary!J178,"")</f>
        <v/>
      </c>
      <c r="C177" s="44" t="str">
        <f>IF(Summary!E178+Summary!H178&gt;0,Summary!E178+Summary!H178,"")</f>
        <v/>
      </c>
      <c r="D177" s="40" t="str">
        <f>IF(Summary!L178&lt;&gt;"",Summary!L178,"")</f>
        <v/>
      </c>
      <c r="E177" s="40" t="str">
        <f>IF(Summary!M178&lt;&gt;"",Summary!M178,"")</f>
        <v/>
      </c>
      <c r="F177" s="20" t="str">
        <f>IF(Summary!N178&lt;&gt;"",Summary!N178,"")</f>
        <v/>
      </c>
      <c r="G177" s="20" t="str">
        <f>IF(Summary!O178&lt;&gt;"",Summary!O178,"")</f>
        <v/>
      </c>
    </row>
    <row r="178" spans="1:7">
      <c r="A178" s="39" t="str">
        <f>IF(Summary!A179&lt;&gt;"",Summary!A179,"")</f>
        <v/>
      </c>
      <c r="B178" s="21" t="str">
        <f>IF(Summary!J179&lt;&gt;"",Summary!J179,"")</f>
        <v/>
      </c>
      <c r="C178" s="44" t="str">
        <f>IF(Summary!E179+Summary!H179&gt;0,Summary!E179+Summary!H179,"")</f>
        <v/>
      </c>
      <c r="D178" s="40" t="str">
        <f>IF(Summary!L179&lt;&gt;"",Summary!L179,"")</f>
        <v/>
      </c>
      <c r="E178" s="40" t="str">
        <f>IF(Summary!M179&lt;&gt;"",Summary!M179,"")</f>
        <v/>
      </c>
      <c r="F178" s="20" t="str">
        <f>IF(Summary!N179&lt;&gt;"",Summary!N179,"")</f>
        <v/>
      </c>
      <c r="G178" s="20" t="str">
        <f>IF(Summary!O179&lt;&gt;"",Summary!O179,"")</f>
        <v/>
      </c>
    </row>
    <row r="179" spans="1:7">
      <c r="A179" s="39" t="str">
        <f>IF(Summary!A180&lt;&gt;"",Summary!A180,"")</f>
        <v/>
      </c>
      <c r="B179" s="21" t="str">
        <f>IF(Summary!J180&lt;&gt;"",Summary!J180,"")</f>
        <v/>
      </c>
      <c r="C179" s="44" t="str">
        <f>IF(Summary!E180+Summary!H180&gt;0,Summary!E180+Summary!H180,"")</f>
        <v/>
      </c>
      <c r="D179" s="40" t="str">
        <f>IF(Summary!L180&lt;&gt;"",Summary!L180,"")</f>
        <v/>
      </c>
      <c r="E179" s="40" t="str">
        <f>IF(Summary!M180&lt;&gt;"",Summary!M180,"")</f>
        <v/>
      </c>
      <c r="F179" s="20" t="str">
        <f>IF(Summary!N180&lt;&gt;"",Summary!N180,"")</f>
        <v/>
      </c>
      <c r="G179" s="20" t="str">
        <f>IF(Summary!O180&lt;&gt;"",Summary!O180,"")</f>
        <v/>
      </c>
    </row>
    <row r="180" spans="1:7">
      <c r="A180" s="39" t="str">
        <f>IF(Summary!A181&lt;&gt;"",Summary!A181,"")</f>
        <v/>
      </c>
      <c r="B180" s="21" t="str">
        <f>IF(Summary!J181&lt;&gt;"",Summary!J181,"")</f>
        <v/>
      </c>
      <c r="C180" s="44" t="str">
        <f>IF(Summary!E181+Summary!H181&gt;0,Summary!E181+Summary!H181,"")</f>
        <v/>
      </c>
      <c r="D180" s="40" t="str">
        <f>IF(Summary!L181&lt;&gt;"",Summary!L181,"")</f>
        <v/>
      </c>
      <c r="E180" s="40" t="str">
        <f>IF(Summary!M181&lt;&gt;"",Summary!M181,"")</f>
        <v/>
      </c>
      <c r="F180" s="20" t="str">
        <f>IF(Summary!N181&lt;&gt;"",Summary!N181,"")</f>
        <v/>
      </c>
      <c r="G180" s="20" t="str">
        <f>IF(Summary!O181&lt;&gt;"",Summary!O181,"")</f>
        <v/>
      </c>
    </row>
    <row r="181" spans="1:7">
      <c r="A181" s="39" t="str">
        <f>IF(Summary!A182&lt;&gt;"",Summary!A182,"")</f>
        <v/>
      </c>
      <c r="B181" s="21" t="str">
        <f>IF(Summary!J182&lt;&gt;"",Summary!J182,"")</f>
        <v/>
      </c>
      <c r="C181" s="44" t="str">
        <f>IF(Summary!E182+Summary!H182&gt;0,Summary!E182+Summary!H182,"")</f>
        <v/>
      </c>
      <c r="D181" s="40" t="str">
        <f>IF(Summary!L182&lt;&gt;"",Summary!L182,"")</f>
        <v/>
      </c>
      <c r="E181" s="40" t="str">
        <f>IF(Summary!M182&lt;&gt;"",Summary!M182,"")</f>
        <v/>
      </c>
      <c r="F181" s="20" t="str">
        <f>IF(Summary!N182&lt;&gt;"",Summary!N182,"")</f>
        <v/>
      </c>
      <c r="G181" s="20" t="str">
        <f>IF(Summary!O182&lt;&gt;"",Summary!O182,"")</f>
        <v/>
      </c>
    </row>
    <row r="182" spans="1:7">
      <c r="A182" s="39" t="str">
        <f>IF(Summary!A183&lt;&gt;"",Summary!A183,"")</f>
        <v/>
      </c>
      <c r="B182" s="21" t="str">
        <f>IF(Summary!J183&lt;&gt;"",Summary!J183,"")</f>
        <v/>
      </c>
      <c r="C182" s="44" t="str">
        <f>IF(Summary!E183+Summary!H183&gt;0,Summary!E183+Summary!H183,"")</f>
        <v/>
      </c>
      <c r="D182" s="40" t="str">
        <f>IF(Summary!L183&lt;&gt;"",Summary!L183,"")</f>
        <v/>
      </c>
      <c r="E182" s="40" t="str">
        <f>IF(Summary!M183&lt;&gt;"",Summary!M183,"")</f>
        <v/>
      </c>
      <c r="F182" s="20" t="str">
        <f>IF(Summary!N183&lt;&gt;"",Summary!N183,"")</f>
        <v/>
      </c>
      <c r="G182" s="20" t="str">
        <f>IF(Summary!O183&lt;&gt;"",Summary!O183,"")</f>
        <v/>
      </c>
    </row>
    <row r="183" spans="1:7">
      <c r="A183" s="39" t="str">
        <f>IF(Summary!A184&lt;&gt;"",Summary!A184,"")</f>
        <v/>
      </c>
      <c r="B183" s="21" t="str">
        <f>IF(Summary!J184&lt;&gt;"",Summary!J184,"")</f>
        <v/>
      </c>
      <c r="C183" s="44" t="str">
        <f>IF(Summary!E184+Summary!H184&gt;0,Summary!E184+Summary!H184,"")</f>
        <v/>
      </c>
      <c r="D183" s="40" t="str">
        <f>IF(Summary!L184&lt;&gt;"",Summary!L184,"")</f>
        <v/>
      </c>
      <c r="E183" s="40" t="str">
        <f>IF(Summary!M184&lt;&gt;"",Summary!M184,"")</f>
        <v/>
      </c>
      <c r="F183" s="20" t="str">
        <f>IF(Summary!N184&lt;&gt;"",Summary!N184,"")</f>
        <v/>
      </c>
      <c r="G183" s="20" t="str">
        <f>IF(Summary!O184&lt;&gt;"",Summary!O184,"")</f>
        <v/>
      </c>
    </row>
    <row r="184" spans="1:7">
      <c r="A184" s="39" t="str">
        <f>IF(Summary!A185&lt;&gt;"",Summary!A185,"")</f>
        <v/>
      </c>
      <c r="B184" s="21" t="str">
        <f>IF(Summary!J185&lt;&gt;"",Summary!J185,"")</f>
        <v/>
      </c>
      <c r="C184" s="44" t="str">
        <f>IF(Summary!E185+Summary!H185&gt;0,Summary!E185+Summary!H185,"")</f>
        <v/>
      </c>
      <c r="D184" s="40" t="str">
        <f>IF(Summary!L185&lt;&gt;"",Summary!L185,"")</f>
        <v/>
      </c>
      <c r="E184" s="40" t="str">
        <f>IF(Summary!M185&lt;&gt;"",Summary!M185,"")</f>
        <v/>
      </c>
      <c r="F184" s="20" t="str">
        <f>IF(Summary!N185&lt;&gt;"",Summary!N185,"")</f>
        <v/>
      </c>
      <c r="G184" s="20" t="str">
        <f>IF(Summary!O185&lt;&gt;"",Summary!O185,"")</f>
        <v/>
      </c>
    </row>
    <row r="185" spans="1:7">
      <c r="A185" s="39" t="str">
        <f>IF(Summary!A186&lt;&gt;"",Summary!A186,"")</f>
        <v/>
      </c>
      <c r="B185" s="21" t="str">
        <f>IF(Summary!J186&lt;&gt;"",Summary!J186,"")</f>
        <v/>
      </c>
      <c r="C185" s="44" t="str">
        <f>IF(Summary!E186+Summary!H186&gt;0,Summary!E186+Summary!H186,"")</f>
        <v/>
      </c>
      <c r="D185" s="40" t="str">
        <f>IF(Summary!L186&lt;&gt;"",Summary!L186,"")</f>
        <v/>
      </c>
      <c r="E185" s="40" t="str">
        <f>IF(Summary!M186&lt;&gt;"",Summary!M186,"")</f>
        <v/>
      </c>
      <c r="F185" s="20" t="str">
        <f>IF(Summary!N186&lt;&gt;"",Summary!N186,"")</f>
        <v/>
      </c>
      <c r="G185" s="20" t="str">
        <f>IF(Summary!O186&lt;&gt;"",Summary!O186,"")</f>
        <v/>
      </c>
    </row>
    <row r="186" spans="1:7">
      <c r="A186" s="39" t="str">
        <f>IF(Summary!A187&lt;&gt;"",Summary!A187,"")</f>
        <v/>
      </c>
      <c r="B186" s="21" t="str">
        <f>IF(Summary!J187&lt;&gt;"",Summary!J187,"")</f>
        <v/>
      </c>
      <c r="C186" s="44" t="str">
        <f>IF(Summary!E187+Summary!H187&gt;0,Summary!E187+Summary!H187,"")</f>
        <v/>
      </c>
      <c r="D186" s="40" t="str">
        <f>IF(Summary!L187&lt;&gt;"",Summary!L187,"")</f>
        <v/>
      </c>
      <c r="E186" s="40" t="str">
        <f>IF(Summary!M187&lt;&gt;"",Summary!M187,"")</f>
        <v/>
      </c>
      <c r="F186" s="20" t="str">
        <f>IF(Summary!N187&lt;&gt;"",Summary!N187,"")</f>
        <v/>
      </c>
      <c r="G186" s="20" t="str">
        <f>IF(Summary!O187&lt;&gt;"",Summary!O187,"")</f>
        <v/>
      </c>
    </row>
    <row r="187" spans="1:7">
      <c r="A187" s="39" t="str">
        <f>IF(Summary!A188&lt;&gt;"",Summary!A188,"")</f>
        <v/>
      </c>
      <c r="B187" s="21" t="str">
        <f>IF(Summary!J188&lt;&gt;"",Summary!J188,"")</f>
        <v/>
      </c>
      <c r="C187" s="44" t="str">
        <f>IF(Summary!E188+Summary!H188&gt;0,Summary!E188+Summary!H188,"")</f>
        <v/>
      </c>
      <c r="D187" s="40" t="str">
        <f>IF(Summary!L188&lt;&gt;"",Summary!L188,"")</f>
        <v/>
      </c>
      <c r="E187" s="40" t="str">
        <f>IF(Summary!M188&lt;&gt;"",Summary!M188,"")</f>
        <v/>
      </c>
      <c r="F187" s="20" t="str">
        <f>IF(Summary!N188&lt;&gt;"",Summary!N188,"")</f>
        <v/>
      </c>
      <c r="G187" s="20" t="str">
        <f>IF(Summary!O188&lt;&gt;"",Summary!O188,"")</f>
        <v/>
      </c>
    </row>
    <row r="188" spans="1:7">
      <c r="A188" s="39" t="str">
        <f>IF(Summary!A189&lt;&gt;"",Summary!A189,"")</f>
        <v/>
      </c>
      <c r="B188" s="21" t="str">
        <f>IF(Summary!J189&lt;&gt;"",Summary!J189,"")</f>
        <v/>
      </c>
      <c r="C188" s="44" t="str">
        <f>IF(Summary!E189+Summary!H189&gt;0,Summary!E189+Summary!H189,"")</f>
        <v/>
      </c>
      <c r="D188" s="40" t="str">
        <f>IF(Summary!L189&lt;&gt;"",Summary!L189,"")</f>
        <v/>
      </c>
      <c r="E188" s="40" t="str">
        <f>IF(Summary!M189&lt;&gt;"",Summary!M189,"")</f>
        <v/>
      </c>
      <c r="F188" s="20" t="str">
        <f>IF(Summary!N189&lt;&gt;"",Summary!N189,"")</f>
        <v/>
      </c>
      <c r="G188" s="20" t="str">
        <f>IF(Summary!O189&lt;&gt;"",Summary!O189,"")</f>
        <v/>
      </c>
    </row>
    <row r="189" spans="1:7">
      <c r="A189" s="39" t="str">
        <f>IF(Summary!A190&lt;&gt;"",Summary!A190,"")</f>
        <v/>
      </c>
      <c r="B189" s="21" t="str">
        <f>IF(Summary!J190&lt;&gt;"",Summary!J190,"")</f>
        <v/>
      </c>
      <c r="C189" s="44" t="str">
        <f>IF(Summary!E190+Summary!H190&gt;0,Summary!E190+Summary!H190,"")</f>
        <v/>
      </c>
      <c r="D189" s="40" t="str">
        <f>IF(Summary!L190&lt;&gt;"",Summary!L190,"")</f>
        <v/>
      </c>
      <c r="E189" s="40" t="str">
        <f>IF(Summary!M190&lt;&gt;"",Summary!M190,"")</f>
        <v/>
      </c>
      <c r="F189" s="20" t="str">
        <f>IF(Summary!N190&lt;&gt;"",Summary!N190,"")</f>
        <v/>
      </c>
      <c r="G189" s="20" t="str">
        <f>IF(Summary!O190&lt;&gt;"",Summary!O190,"")</f>
        <v/>
      </c>
    </row>
    <row r="190" spans="1:7">
      <c r="A190" s="39" t="str">
        <f>IF(Summary!A191&lt;&gt;"",Summary!A191,"")</f>
        <v/>
      </c>
      <c r="B190" s="21" t="str">
        <f>IF(Summary!J191&lt;&gt;"",Summary!J191,"")</f>
        <v/>
      </c>
      <c r="C190" s="44" t="str">
        <f>IF(Summary!E191+Summary!H191&gt;0,Summary!E191+Summary!H191,"")</f>
        <v/>
      </c>
      <c r="D190" s="40" t="str">
        <f>IF(Summary!L191&lt;&gt;"",Summary!L191,"")</f>
        <v/>
      </c>
      <c r="E190" s="40" t="str">
        <f>IF(Summary!M191&lt;&gt;"",Summary!M191,"")</f>
        <v/>
      </c>
      <c r="F190" s="20" t="str">
        <f>IF(Summary!N191&lt;&gt;"",Summary!N191,"")</f>
        <v/>
      </c>
      <c r="G190" s="20" t="str">
        <f>IF(Summary!O191&lt;&gt;"",Summary!O191,"")</f>
        <v/>
      </c>
    </row>
    <row r="191" spans="1:7">
      <c r="A191" s="39" t="str">
        <f>IF(Summary!A192&lt;&gt;"",Summary!A192,"")</f>
        <v/>
      </c>
      <c r="B191" s="21" t="str">
        <f>IF(Summary!J192&lt;&gt;"",Summary!J192,"")</f>
        <v/>
      </c>
      <c r="C191" s="44" t="str">
        <f>IF(Summary!E192+Summary!H192&gt;0,Summary!E192+Summary!H192,"")</f>
        <v/>
      </c>
      <c r="D191" s="40" t="str">
        <f>IF(Summary!L192&lt;&gt;"",Summary!L192,"")</f>
        <v/>
      </c>
      <c r="E191" s="40" t="str">
        <f>IF(Summary!M192&lt;&gt;"",Summary!M192,"")</f>
        <v/>
      </c>
      <c r="F191" s="20" t="str">
        <f>IF(Summary!N192&lt;&gt;"",Summary!N192,"")</f>
        <v/>
      </c>
      <c r="G191" s="20" t="str">
        <f>IF(Summary!O192&lt;&gt;"",Summary!O192,"")</f>
        <v/>
      </c>
    </row>
    <row r="192" spans="1:7">
      <c r="A192" s="39" t="str">
        <f>IF(Summary!A193&lt;&gt;"",Summary!A193,"")</f>
        <v/>
      </c>
      <c r="B192" s="21" t="str">
        <f>IF(Summary!J193&lt;&gt;"",Summary!J193,"")</f>
        <v/>
      </c>
      <c r="C192" s="44" t="str">
        <f>IF(Summary!E193+Summary!H193&gt;0,Summary!E193+Summary!H193,"")</f>
        <v/>
      </c>
      <c r="D192" s="40" t="str">
        <f>IF(Summary!L193&lt;&gt;"",Summary!L193,"")</f>
        <v/>
      </c>
      <c r="E192" s="40" t="str">
        <f>IF(Summary!M193&lt;&gt;"",Summary!M193,"")</f>
        <v/>
      </c>
      <c r="F192" s="20" t="str">
        <f>IF(Summary!N193&lt;&gt;"",Summary!N193,"")</f>
        <v/>
      </c>
      <c r="G192" s="20" t="str">
        <f>IF(Summary!O193&lt;&gt;"",Summary!O193,"")</f>
        <v/>
      </c>
    </row>
    <row r="193" spans="1:7">
      <c r="A193" s="39" t="str">
        <f>IF(Summary!A194&lt;&gt;"",Summary!A194,"")</f>
        <v/>
      </c>
      <c r="B193" s="21" t="str">
        <f>IF(Summary!J194&lt;&gt;"",Summary!J194,"")</f>
        <v/>
      </c>
      <c r="C193" s="44" t="str">
        <f>IF(Summary!E194+Summary!H194&gt;0,Summary!E194+Summary!H194,"")</f>
        <v/>
      </c>
      <c r="D193" s="40" t="str">
        <f>IF(Summary!L194&lt;&gt;"",Summary!L194,"")</f>
        <v/>
      </c>
      <c r="E193" s="40" t="str">
        <f>IF(Summary!M194&lt;&gt;"",Summary!M194,"")</f>
        <v/>
      </c>
      <c r="F193" s="20" t="str">
        <f>IF(Summary!N194&lt;&gt;"",Summary!N194,"")</f>
        <v/>
      </c>
      <c r="G193" s="20" t="str">
        <f>IF(Summary!O194&lt;&gt;"",Summary!O194,"")</f>
        <v/>
      </c>
    </row>
    <row r="194" spans="1:7">
      <c r="A194" s="39" t="str">
        <f>IF(Summary!A195&lt;&gt;"",Summary!A195,"")</f>
        <v/>
      </c>
      <c r="B194" s="21" t="str">
        <f>IF(Summary!J195&lt;&gt;"",Summary!J195,"")</f>
        <v/>
      </c>
      <c r="C194" s="44" t="str">
        <f>IF(Summary!E195+Summary!H195&gt;0,Summary!E195+Summary!H195,"")</f>
        <v/>
      </c>
      <c r="D194" s="40" t="str">
        <f>IF(Summary!L195&lt;&gt;"",Summary!L195,"")</f>
        <v/>
      </c>
      <c r="E194" s="40" t="str">
        <f>IF(Summary!M195&lt;&gt;"",Summary!M195,"")</f>
        <v/>
      </c>
      <c r="F194" s="20" t="str">
        <f>IF(Summary!N195&lt;&gt;"",Summary!N195,"")</f>
        <v/>
      </c>
      <c r="G194" s="20" t="str">
        <f>IF(Summary!O195&lt;&gt;"",Summary!O195,"")</f>
        <v/>
      </c>
    </row>
    <row r="195" spans="1:7">
      <c r="A195" s="39" t="str">
        <f>IF(Summary!A196&lt;&gt;"",Summary!A196,"")</f>
        <v/>
      </c>
      <c r="B195" s="21" t="str">
        <f>IF(Summary!J196&lt;&gt;"",Summary!J196,"")</f>
        <v/>
      </c>
      <c r="C195" s="44" t="str">
        <f>IF(Summary!E196+Summary!H196&gt;0,Summary!E196+Summary!H196,"")</f>
        <v/>
      </c>
      <c r="D195" s="40" t="str">
        <f>IF(Summary!L196&lt;&gt;"",Summary!L196,"")</f>
        <v/>
      </c>
      <c r="E195" s="40" t="str">
        <f>IF(Summary!M196&lt;&gt;"",Summary!M196,"")</f>
        <v/>
      </c>
      <c r="F195" s="20" t="str">
        <f>IF(Summary!N196&lt;&gt;"",Summary!N196,"")</f>
        <v/>
      </c>
      <c r="G195" s="20" t="str">
        <f>IF(Summary!O196&lt;&gt;"",Summary!O196,"")</f>
        <v/>
      </c>
    </row>
    <row r="196" spans="1:7">
      <c r="A196" s="39" t="str">
        <f>IF(Summary!A197&lt;&gt;"",Summary!A197,"")</f>
        <v/>
      </c>
      <c r="B196" s="21" t="str">
        <f>IF(Summary!J197&lt;&gt;"",Summary!J197,"")</f>
        <v/>
      </c>
      <c r="C196" s="44" t="str">
        <f>IF(Summary!E197+Summary!H197&gt;0,Summary!E197+Summary!H197,"")</f>
        <v/>
      </c>
      <c r="D196" s="40" t="str">
        <f>IF(Summary!L197&lt;&gt;"",Summary!L197,"")</f>
        <v/>
      </c>
      <c r="E196" s="40" t="str">
        <f>IF(Summary!M197&lt;&gt;"",Summary!M197,"")</f>
        <v/>
      </c>
      <c r="F196" s="20" t="str">
        <f>IF(Summary!N197&lt;&gt;"",Summary!N197,"")</f>
        <v/>
      </c>
      <c r="G196" s="20" t="str">
        <f>IF(Summary!O197&lt;&gt;"",Summary!O197,"")</f>
        <v/>
      </c>
    </row>
    <row r="197" spans="1:7">
      <c r="A197" s="39" t="str">
        <f>IF(Summary!A198&lt;&gt;"",Summary!A198,"")</f>
        <v/>
      </c>
      <c r="B197" s="21" t="str">
        <f>IF(Summary!J198&lt;&gt;"",Summary!J198,"")</f>
        <v/>
      </c>
      <c r="C197" s="44" t="str">
        <f>IF(Summary!E198+Summary!H198&gt;0,Summary!E198+Summary!H198,"")</f>
        <v/>
      </c>
      <c r="D197" s="40" t="str">
        <f>IF(Summary!L198&lt;&gt;"",Summary!L198,"")</f>
        <v/>
      </c>
      <c r="E197" s="40" t="str">
        <f>IF(Summary!M198&lt;&gt;"",Summary!M198,"")</f>
        <v/>
      </c>
      <c r="F197" s="20" t="str">
        <f>IF(Summary!N198&lt;&gt;"",Summary!N198,"")</f>
        <v/>
      </c>
      <c r="G197" s="20" t="str">
        <f>IF(Summary!O198&lt;&gt;"",Summary!O198,"")</f>
        <v/>
      </c>
    </row>
    <row r="198" spans="1:7">
      <c r="A198" s="39" t="str">
        <f>IF(Summary!A199&lt;&gt;"",Summary!A199,"")</f>
        <v/>
      </c>
      <c r="B198" s="21" t="str">
        <f>IF(Summary!J199&lt;&gt;"",Summary!J199,"")</f>
        <v/>
      </c>
      <c r="C198" s="44" t="str">
        <f>IF(Summary!E199+Summary!H199&gt;0,Summary!E199+Summary!H199,"")</f>
        <v/>
      </c>
      <c r="D198" s="40" t="str">
        <f>IF(Summary!L199&lt;&gt;"",Summary!L199,"")</f>
        <v/>
      </c>
      <c r="E198" s="40" t="str">
        <f>IF(Summary!M199&lt;&gt;"",Summary!M199,"")</f>
        <v/>
      </c>
      <c r="F198" s="20" t="str">
        <f>IF(Summary!N199&lt;&gt;"",Summary!N199,"")</f>
        <v/>
      </c>
      <c r="G198" s="20" t="str">
        <f>IF(Summary!O199&lt;&gt;"",Summary!O199,"")</f>
        <v/>
      </c>
    </row>
    <row r="199" spans="1:7">
      <c r="A199" s="39" t="str">
        <f>IF(Summary!A200&lt;&gt;"",Summary!A200,"")</f>
        <v/>
      </c>
      <c r="B199" s="21" t="str">
        <f>IF(Summary!J200&lt;&gt;"",Summary!J200,"")</f>
        <v/>
      </c>
      <c r="C199" s="44" t="str">
        <f>IF(Summary!E200+Summary!H200&gt;0,Summary!E200+Summary!H200,"")</f>
        <v/>
      </c>
      <c r="D199" s="40" t="str">
        <f>IF(Summary!L200&lt;&gt;"",Summary!L200,"")</f>
        <v/>
      </c>
      <c r="E199" s="40" t="str">
        <f>IF(Summary!M200&lt;&gt;"",Summary!M200,"")</f>
        <v/>
      </c>
      <c r="F199" s="20" t="str">
        <f>IF(Summary!N200&lt;&gt;"",Summary!N200,"")</f>
        <v/>
      </c>
      <c r="G199" s="20" t="str">
        <f>IF(Summary!O200&lt;&gt;"",Summary!O200,"")</f>
        <v/>
      </c>
    </row>
    <row r="200" spans="1:7">
      <c r="A200" s="39" t="str">
        <f>IF(Summary!A201&lt;&gt;"",Summary!A201,"")</f>
        <v/>
      </c>
      <c r="B200" s="21" t="str">
        <f>IF(Summary!J201&lt;&gt;"",Summary!J201,"")</f>
        <v/>
      </c>
      <c r="C200" s="44" t="str">
        <f>IF(Summary!E201+Summary!H201&gt;0,Summary!E201+Summary!H201,"")</f>
        <v/>
      </c>
      <c r="D200" s="40" t="str">
        <f>IF(Summary!L201&lt;&gt;"",Summary!L201,"")</f>
        <v/>
      </c>
      <c r="E200" s="40" t="str">
        <f>IF(Summary!M201&lt;&gt;"",Summary!M201,"")</f>
        <v/>
      </c>
      <c r="F200" s="20" t="str">
        <f>IF(Summary!N201&lt;&gt;"",Summary!N201,"")</f>
        <v/>
      </c>
      <c r="G200" s="20" t="str">
        <f>IF(Summary!O201&lt;&gt;"",Summary!O201,"")</f>
        <v/>
      </c>
    </row>
    <row r="201" spans="1:7">
      <c r="A201" s="39" t="str">
        <f>IF(Summary!A202&lt;&gt;"",Summary!A202,"")</f>
        <v/>
      </c>
      <c r="B201" s="21" t="str">
        <f>IF(Summary!J202&lt;&gt;"",Summary!J202,"")</f>
        <v/>
      </c>
      <c r="C201" s="44" t="str">
        <f>IF(Summary!E202+Summary!H202&gt;0,Summary!E202+Summary!H202,"")</f>
        <v/>
      </c>
      <c r="D201" s="40" t="str">
        <f>IF(Summary!L202&lt;&gt;"",Summary!L202,"")</f>
        <v/>
      </c>
      <c r="E201" s="40" t="str">
        <f>IF(Summary!M202&lt;&gt;"",Summary!M202,"")</f>
        <v/>
      </c>
      <c r="F201" s="20" t="str">
        <f>IF(Summary!N202&lt;&gt;"",Summary!N202,"")</f>
        <v/>
      </c>
      <c r="G201" s="20" t="str">
        <f>IF(Summary!O202&lt;&gt;"",Summary!O202,"")</f>
        <v/>
      </c>
    </row>
    <row r="202" spans="1:7">
      <c r="A202" s="39" t="str">
        <f>IF(Summary!A203&lt;&gt;"",Summary!A203,"")</f>
        <v/>
      </c>
      <c r="B202" s="21" t="str">
        <f>IF(Summary!J203&lt;&gt;"",Summary!J203,"")</f>
        <v/>
      </c>
      <c r="C202" s="44" t="str">
        <f>IF(Summary!E203+Summary!H203&gt;0,Summary!E203+Summary!H203,"")</f>
        <v/>
      </c>
      <c r="D202" s="40" t="str">
        <f>IF(Summary!L203&lt;&gt;"",Summary!L203,"")</f>
        <v/>
      </c>
      <c r="E202" s="40" t="str">
        <f>IF(Summary!M203&lt;&gt;"",Summary!M203,"")</f>
        <v/>
      </c>
      <c r="F202" s="20" t="str">
        <f>IF(Summary!N203&lt;&gt;"",Summary!N203,"")</f>
        <v/>
      </c>
      <c r="G202" s="20" t="str">
        <f>IF(Summary!O203&lt;&gt;"",Summary!O203,"")</f>
        <v/>
      </c>
    </row>
    <row r="203" spans="1:7">
      <c r="A203" s="39" t="str">
        <f>IF(Summary!A204&lt;&gt;"",Summary!A204,"")</f>
        <v/>
      </c>
      <c r="B203" s="21" t="str">
        <f>IF(Summary!J204&lt;&gt;"",Summary!J204,"")</f>
        <v/>
      </c>
      <c r="C203" s="44" t="str">
        <f>IF(Summary!E204+Summary!H204&gt;0,Summary!E204+Summary!H204,"")</f>
        <v/>
      </c>
      <c r="D203" s="40" t="str">
        <f>IF(Summary!L204&lt;&gt;"",Summary!L204,"")</f>
        <v/>
      </c>
      <c r="E203" s="40" t="str">
        <f>IF(Summary!M204&lt;&gt;"",Summary!M204,"")</f>
        <v/>
      </c>
      <c r="F203" s="20" t="str">
        <f>IF(Summary!N204&lt;&gt;"",Summary!N204,"")</f>
        <v/>
      </c>
      <c r="G203" s="20" t="str">
        <f>IF(Summary!O204&lt;&gt;"",Summary!O204,"")</f>
        <v/>
      </c>
    </row>
    <row r="204" spans="1:7">
      <c r="A204" s="39" t="str">
        <f>IF(Summary!A205&lt;&gt;"",Summary!A205,"")</f>
        <v/>
      </c>
      <c r="B204" s="21" t="str">
        <f>IF(Summary!J205&lt;&gt;"",Summary!J205,"")</f>
        <v/>
      </c>
      <c r="C204" s="44" t="str">
        <f>IF(Summary!E205+Summary!H205&gt;0,Summary!E205+Summary!H205,"")</f>
        <v/>
      </c>
      <c r="D204" s="40" t="str">
        <f>IF(Summary!L205&lt;&gt;"",Summary!L205,"")</f>
        <v/>
      </c>
      <c r="E204" s="40" t="str">
        <f>IF(Summary!M205&lt;&gt;"",Summary!M205,"")</f>
        <v/>
      </c>
      <c r="F204" s="20" t="str">
        <f>IF(Summary!N205&lt;&gt;"",Summary!N205,"")</f>
        <v/>
      </c>
      <c r="G204" s="20" t="str">
        <f>IF(Summary!O205&lt;&gt;"",Summary!O205,"")</f>
        <v/>
      </c>
    </row>
    <row r="205" spans="1:7">
      <c r="A205" s="39" t="str">
        <f>IF(Summary!A206&lt;&gt;"",Summary!A206,"")</f>
        <v/>
      </c>
      <c r="B205" s="21" t="str">
        <f>IF(Summary!J206&lt;&gt;"",Summary!J206,"")</f>
        <v/>
      </c>
      <c r="C205" s="44" t="str">
        <f>IF(Summary!E206+Summary!H206&gt;0,Summary!E206+Summary!H206,"")</f>
        <v/>
      </c>
      <c r="D205" s="40" t="str">
        <f>IF(Summary!L206&lt;&gt;"",Summary!L206,"")</f>
        <v/>
      </c>
      <c r="E205" s="40" t="str">
        <f>IF(Summary!M206&lt;&gt;"",Summary!M206,"")</f>
        <v/>
      </c>
      <c r="F205" s="20" t="str">
        <f>IF(Summary!N206&lt;&gt;"",Summary!N206,"")</f>
        <v/>
      </c>
      <c r="G205" s="20" t="str">
        <f>IF(Summary!O206&lt;&gt;"",Summary!O206,"")</f>
        <v/>
      </c>
    </row>
    <row r="206" spans="1:7">
      <c r="A206" s="39" t="str">
        <f>IF(Summary!A207&lt;&gt;"",Summary!A207,"")</f>
        <v/>
      </c>
      <c r="B206" s="21" t="str">
        <f>IF(Summary!J207&lt;&gt;"",Summary!J207,"")</f>
        <v/>
      </c>
      <c r="C206" s="44" t="str">
        <f>IF(Summary!E207+Summary!H207&gt;0,Summary!E207+Summary!H207,"")</f>
        <v/>
      </c>
      <c r="D206" s="40" t="str">
        <f>IF(Summary!L207&lt;&gt;"",Summary!L207,"")</f>
        <v/>
      </c>
      <c r="E206" s="40" t="str">
        <f>IF(Summary!M207&lt;&gt;"",Summary!M207,"")</f>
        <v/>
      </c>
      <c r="F206" s="20" t="str">
        <f>IF(Summary!N207&lt;&gt;"",Summary!N207,"")</f>
        <v/>
      </c>
      <c r="G206" s="20" t="str">
        <f>IF(Summary!O207&lt;&gt;"",Summary!O207,"")</f>
        <v/>
      </c>
    </row>
    <row r="207" spans="1:7">
      <c r="A207" s="39" t="str">
        <f>IF(Summary!A208&lt;&gt;"",Summary!A208,"")</f>
        <v/>
      </c>
      <c r="B207" s="21" t="str">
        <f>IF(Summary!J208&lt;&gt;"",Summary!J208,"")</f>
        <v/>
      </c>
      <c r="C207" s="44" t="str">
        <f>IF(Summary!E208+Summary!H208&gt;0,Summary!E208+Summary!H208,"")</f>
        <v/>
      </c>
      <c r="D207" s="40" t="str">
        <f>IF(Summary!L208&lt;&gt;"",Summary!L208,"")</f>
        <v/>
      </c>
      <c r="E207" s="40" t="str">
        <f>IF(Summary!M208&lt;&gt;"",Summary!M208,"")</f>
        <v/>
      </c>
      <c r="F207" s="20" t="str">
        <f>IF(Summary!N208&lt;&gt;"",Summary!N208,"")</f>
        <v/>
      </c>
      <c r="G207" s="20" t="str">
        <f>IF(Summary!O208&lt;&gt;"",Summary!O208,"")</f>
        <v/>
      </c>
    </row>
    <row r="208" spans="1:7">
      <c r="A208" s="39" t="str">
        <f>IF(Summary!A209&lt;&gt;"",Summary!A209,"")</f>
        <v/>
      </c>
      <c r="B208" s="21" t="str">
        <f>IF(Summary!J209&lt;&gt;"",Summary!J209,"")</f>
        <v/>
      </c>
      <c r="C208" s="44" t="str">
        <f>IF(Summary!E209+Summary!H209&gt;0,Summary!E209+Summary!H209,"")</f>
        <v/>
      </c>
      <c r="D208" s="40" t="str">
        <f>IF(Summary!L209&lt;&gt;"",Summary!L209,"")</f>
        <v/>
      </c>
      <c r="E208" s="40" t="str">
        <f>IF(Summary!M209&lt;&gt;"",Summary!M209,"")</f>
        <v/>
      </c>
      <c r="F208" s="20" t="str">
        <f>IF(Summary!N209&lt;&gt;"",Summary!N209,"")</f>
        <v/>
      </c>
      <c r="G208" s="20" t="str">
        <f>IF(Summary!O209&lt;&gt;"",Summary!O209,"")</f>
        <v/>
      </c>
    </row>
    <row r="209" spans="1:7">
      <c r="A209" s="39" t="str">
        <f>IF(Summary!A210&lt;&gt;"",Summary!A210,"")</f>
        <v/>
      </c>
      <c r="B209" s="21" t="str">
        <f>IF(Summary!J210&lt;&gt;"",Summary!J210,"")</f>
        <v/>
      </c>
      <c r="C209" s="44" t="str">
        <f>IF(Summary!E210+Summary!H210&gt;0,Summary!E210+Summary!H210,"")</f>
        <v/>
      </c>
      <c r="D209" s="40" t="str">
        <f>IF(Summary!L210&lt;&gt;"",Summary!L210,"")</f>
        <v/>
      </c>
      <c r="E209" s="40" t="str">
        <f>IF(Summary!M210&lt;&gt;"",Summary!M210,"")</f>
        <v/>
      </c>
      <c r="F209" s="20" t="str">
        <f>IF(Summary!N210&lt;&gt;"",Summary!N210,"")</f>
        <v/>
      </c>
      <c r="G209" s="20" t="str">
        <f>IF(Summary!O210&lt;&gt;"",Summary!O210,"")</f>
        <v/>
      </c>
    </row>
    <row r="210" spans="1:7">
      <c r="A210" s="39" t="str">
        <f>IF(Summary!A211&lt;&gt;"",Summary!A211,"")</f>
        <v/>
      </c>
      <c r="B210" s="21" t="str">
        <f>IF(Summary!J211&lt;&gt;"",Summary!J211,"")</f>
        <v/>
      </c>
      <c r="C210" s="44" t="str">
        <f>IF(Summary!E211+Summary!H211&gt;0,Summary!E211+Summary!H211,"")</f>
        <v/>
      </c>
      <c r="D210" s="40" t="str">
        <f>IF(Summary!L211&lt;&gt;"",Summary!L211,"")</f>
        <v/>
      </c>
      <c r="E210" s="40" t="str">
        <f>IF(Summary!M211&lt;&gt;"",Summary!M211,"")</f>
        <v/>
      </c>
      <c r="F210" s="20" t="str">
        <f>IF(Summary!N211&lt;&gt;"",Summary!N211,"")</f>
        <v/>
      </c>
      <c r="G210" s="20" t="str">
        <f>IF(Summary!O211&lt;&gt;"",Summary!O211,"")</f>
        <v/>
      </c>
    </row>
    <row r="211" spans="1:7">
      <c r="A211" s="39" t="str">
        <f>IF(Summary!A212&lt;&gt;"",Summary!A212,"")</f>
        <v/>
      </c>
      <c r="B211" s="21" t="str">
        <f>IF(Summary!J212&lt;&gt;"",Summary!J212,"")</f>
        <v/>
      </c>
      <c r="C211" s="44" t="str">
        <f>IF(Summary!E212+Summary!H212&gt;0,Summary!E212+Summary!H212,"")</f>
        <v/>
      </c>
      <c r="D211" s="40" t="str">
        <f>IF(Summary!L212&lt;&gt;"",Summary!L212,"")</f>
        <v/>
      </c>
      <c r="E211" s="40" t="str">
        <f>IF(Summary!M212&lt;&gt;"",Summary!M212,"")</f>
        <v/>
      </c>
      <c r="F211" s="20" t="str">
        <f>IF(Summary!N212&lt;&gt;"",Summary!N212,"")</f>
        <v/>
      </c>
      <c r="G211" s="20" t="str">
        <f>IF(Summary!O212&lt;&gt;"",Summary!O212,"")</f>
        <v/>
      </c>
    </row>
    <row r="212" spans="1:7">
      <c r="A212" s="39" t="str">
        <f>IF(Summary!A213&lt;&gt;"",Summary!A213,"")</f>
        <v/>
      </c>
      <c r="B212" s="21" t="str">
        <f>IF(Summary!J213&lt;&gt;"",Summary!J213,"")</f>
        <v/>
      </c>
      <c r="C212" s="44" t="str">
        <f>IF(Summary!E213+Summary!H213&gt;0,Summary!E213+Summary!H213,"")</f>
        <v/>
      </c>
      <c r="D212" s="40" t="str">
        <f>IF(Summary!L213&lt;&gt;"",Summary!L213,"")</f>
        <v/>
      </c>
      <c r="E212" s="40" t="str">
        <f>IF(Summary!M213&lt;&gt;"",Summary!M213,"")</f>
        <v/>
      </c>
      <c r="F212" s="20" t="str">
        <f>IF(Summary!N213&lt;&gt;"",Summary!N213,"")</f>
        <v/>
      </c>
      <c r="G212" s="20" t="str">
        <f>IF(Summary!O213&lt;&gt;"",Summary!O213,"")</f>
        <v/>
      </c>
    </row>
    <row r="213" spans="1:7">
      <c r="A213" s="39" t="str">
        <f>IF(Summary!A214&lt;&gt;"",Summary!A214,"")</f>
        <v/>
      </c>
      <c r="B213" s="21" t="str">
        <f>IF(Summary!J214&lt;&gt;"",Summary!J214,"")</f>
        <v/>
      </c>
      <c r="C213" s="44" t="str">
        <f>IF(Summary!E214+Summary!H214&gt;0,Summary!E214+Summary!H214,"")</f>
        <v/>
      </c>
      <c r="D213" s="40" t="str">
        <f>IF(Summary!L214&lt;&gt;"",Summary!L214,"")</f>
        <v/>
      </c>
      <c r="E213" s="40" t="str">
        <f>IF(Summary!M214&lt;&gt;"",Summary!M214,"")</f>
        <v/>
      </c>
      <c r="F213" s="20" t="str">
        <f>IF(Summary!N214&lt;&gt;"",Summary!N214,"")</f>
        <v/>
      </c>
      <c r="G213" s="20" t="str">
        <f>IF(Summary!O214&lt;&gt;"",Summary!O214,"")</f>
        <v/>
      </c>
    </row>
    <row r="214" spans="1:7">
      <c r="A214" s="39" t="str">
        <f>IF(Summary!A215&lt;&gt;"",Summary!A215,"")</f>
        <v/>
      </c>
      <c r="B214" s="21" t="str">
        <f>IF(Summary!J215&lt;&gt;"",Summary!J215,"")</f>
        <v/>
      </c>
      <c r="C214" s="44" t="str">
        <f>IF(Summary!E215+Summary!H215&gt;0,Summary!E215+Summary!H215,"")</f>
        <v/>
      </c>
      <c r="D214" s="40" t="str">
        <f>IF(Summary!L215&lt;&gt;"",Summary!L215,"")</f>
        <v/>
      </c>
      <c r="E214" s="40" t="str">
        <f>IF(Summary!M215&lt;&gt;"",Summary!M215,"")</f>
        <v/>
      </c>
      <c r="F214" s="20" t="str">
        <f>IF(Summary!N215&lt;&gt;"",Summary!N215,"")</f>
        <v/>
      </c>
      <c r="G214" s="20" t="str">
        <f>IF(Summary!O215&lt;&gt;"",Summary!O215,"")</f>
        <v/>
      </c>
    </row>
    <row r="215" spans="1:7">
      <c r="A215" s="39" t="str">
        <f>IF(Summary!A216&lt;&gt;"",Summary!A216,"")</f>
        <v/>
      </c>
      <c r="B215" s="21" t="str">
        <f>IF(Summary!J216&lt;&gt;"",Summary!J216,"")</f>
        <v/>
      </c>
      <c r="C215" s="44" t="str">
        <f>IF(Summary!E216+Summary!H216&gt;0,Summary!E216+Summary!H216,"")</f>
        <v/>
      </c>
      <c r="D215" s="40" t="str">
        <f>IF(Summary!L216&lt;&gt;"",Summary!L216,"")</f>
        <v/>
      </c>
      <c r="E215" s="40" t="str">
        <f>IF(Summary!M216&lt;&gt;"",Summary!M216,"")</f>
        <v/>
      </c>
      <c r="F215" s="20" t="str">
        <f>IF(Summary!N216&lt;&gt;"",Summary!N216,"")</f>
        <v/>
      </c>
      <c r="G215" s="20" t="str">
        <f>IF(Summary!O216&lt;&gt;"",Summary!O216,"")</f>
        <v/>
      </c>
    </row>
    <row r="216" spans="1:7">
      <c r="A216" s="39" t="str">
        <f>IF(Summary!A217&lt;&gt;"",Summary!A217,"")</f>
        <v/>
      </c>
      <c r="B216" s="21" t="str">
        <f>IF(Summary!J217&lt;&gt;"",Summary!J217,"")</f>
        <v/>
      </c>
      <c r="C216" s="44" t="str">
        <f>IF(Summary!E217+Summary!H217&gt;0,Summary!E217+Summary!H217,"")</f>
        <v/>
      </c>
      <c r="D216" s="40" t="str">
        <f>IF(Summary!L217&lt;&gt;"",Summary!L217,"")</f>
        <v/>
      </c>
      <c r="E216" s="40" t="str">
        <f>IF(Summary!M217&lt;&gt;"",Summary!M217,"")</f>
        <v/>
      </c>
      <c r="F216" s="20" t="str">
        <f>IF(Summary!N217&lt;&gt;"",Summary!N217,"")</f>
        <v/>
      </c>
      <c r="G216" s="20" t="str">
        <f>IF(Summary!O217&lt;&gt;"",Summary!O217,"")</f>
        <v/>
      </c>
    </row>
    <row r="217" spans="1:7">
      <c r="A217" s="39" t="str">
        <f>IF(Summary!A218&lt;&gt;"",Summary!A218,"")</f>
        <v/>
      </c>
      <c r="B217" s="21" t="str">
        <f>IF(Summary!J218&lt;&gt;"",Summary!J218,"")</f>
        <v/>
      </c>
      <c r="C217" s="44" t="str">
        <f>IF(Summary!E218+Summary!H218&gt;0,Summary!E218+Summary!H218,"")</f>
        <v/>
      </c>
      <c r="D217" s="40" t="str">
        <f>IF(Summary!L218&lt;&gt;"",Summary!L218,"")</f>
        <v/>
      </c>
      <c r="E217" s="40" t="str">
        <f>IF(Summary!M218&lt;&gt;"",Summary!M218,"")</f>
        <v/>
      </c>
      <c r="F217" s="20" t="str">
        <f>IF(Summary!N218&lt;&gt;"",Summary!N218,"")</f>
        <v/>
      </c>
      <c r="G217" s="20" t="str">
        <f>IF(Summary!O218&lt;&gt;"",Summary!O218,"")</f>
        <v/>
      </c>
    </row>
    <row r="218" spans="1:7">
      <c r="A218" s="39" t="str">
        <f>IF(Summary!A219&lt;&gt;"",Summary!A219,"")</f>
        <v/>
      </c>
      <c r="B218" s="21" t="str">
        <f>IF(Summary!J219&lt;&gt;"",Summary!J219,"")</f>
        <v/>
      </c>
      <c r="C218" s="44" t="str">
        <f>IF(Summary!E219+Summary!H219&gt;0,Summary!E219+Summary!H219,"")</f>
        <v/>
      </c>
      <c r="D218" s="40" t="str">
        <f>IF(Summary!L219&lt;&gt;"",Summary!L219,"")</f>
        <v/>
      </c>
      <c r="E218" s="40" t="str">
        <f>IF(Summary!M219&lt;&gt;"",Summary!M219,"")</f>
        <v/>
      </c>
      <c r="F218" s="20" t="str">
        <f>IF(Summary!N219&lt;&gt;"",Summary!N219,"")</f>
        <v/>
      </c>
      <c r="G218" s="20" t="str">
        <f>IF(Summary!O219&lt;&gt;"",Summary!O219,"")</f>
        <v/>
      </c>
    </row>
    <row r="219" spans="1:7">
      <c r="A219" s="39" t="str">
        <f>IF(Summary!A220&lt;&gt;"",Summary!A220,"")</f>
        <v/>
      </c>
      <c r="B219" s="21" t="str">
        <f>IF(Summary!J220&lt;&gt;"",Summary!J220,"")</f>
        <v/>
      </c>
      <c r="C219" s="44" t="str">
        <f>IF(Summary!E220+Summary!H220&gt;0,Summary!E220+Summary!H220,"")</f>
        <v/>
      </c>
      <c r="D219" s="40" t="str">
        <f>IF(Summary!L220&lt;&gt;"",Summary!L220,"")</f>
        <v/>
      </c>
      <c r="E219" s="40" t="str">
        <f>IF(Summary!M220&lt;&gt;"",Summary!M220,"")</f>
        <v/>
      </c>
      <c r="F219" s="20" t="str">
        <f>IF(Summary!N220&lt;&gt;"",Summary!N220,"")</f>
        <v/>
      </c>
      <c r="G219" s="20" t="str">
        <f>IF(Summary!O220&lt;&gt;"",Summary!O220,"")</f>
        <v/>
      </c>
    </row>
    <row r="220" spans="1:7">
      <c r="A220" s="39" t="str">
        <f>IF(Summary!A221&lt;&gt;"",Summary!A221,"")</f>
        <v/>
      </c>
      <c r="B220" s="21" t="str">
        <f>IF(Summary!J221&lt;&gt;"",Summary!J221,"")</f>
        <v/>
      </c>
      <c r="C220" s="44" t="str">
        <f>IF(Summary!E221+Summary!H221&gt;0,Summary!E221+Summary!H221,"")</f>
        <v/>
      </c>
      <c r="D220" s="40" t="str">
        <f>IF(Summary!L221&lt;&gt;"",Summary!L221,"")</f>
        <v/>
      </c>
      <c r="E220" s="40" t="str">
        <f>IF(Summary!M221&lt;&gt;"",Summary!M221,"")</f>
        <v/>
      </c>
      <c r="F220" s="20" t="str">
        <f>IF(Summary!N221&lt;&gt;"",Summary!N221,"")</f>
        <v/>
      </c>
      <c r="G220" s="20" t="str">
        <f>IF(Summary!O221&lt;&gt;"",Summary!O221,"")</f>
        <v/>
      </c>
    </row>
    <row r="221" spans="1:7">
      <c r="A221" s="39" t="str">
        <f>IF(Summary!A222&lt;&gt;"",Summary!A222,"")</f>
        <v/>
      </c>
      <c r="B221" s="21" t="str">
        <f>IF(Summary!J222&lt;&gt;"",Summary!J222,"")</f>
        <v/>
      </c>
      <c r="C221" s="44" t="str">
        <f>IF(Summary!E222+Summary!H222&gt;0,Summary!E222+Summary!H222,"")</f>
        <v/>
      </c>
      <c r="D221" s="40" t="str">
        <f>IF(Summary!L222&lt;&gt;"",Summary!L222,"")</f>
        <v/>
      </c>
      <c r="E221" s="40" t="str">
        <f>IF(Summary!M222&lt;&gt;"",Summary!M222,"")</f>
        <v/>
      </c>
      <c r="F221" s="20" t="str">
        <f>IF(Summary!N222&lt;&gt;"",Summary!N222,"")</f>
        <v/>
      </c>
      <c r="G221" s="20" t="str">
        <f>IF(Summary!O222&lt;&gt;"",Summary!O222,"")</f>
        <v/>
      </c>
    </row>
    <row r="222" spans="1:7">
      <c r="A222" s="39" t="str">
        <f>IF(Summary!A223&lt;&gt;"",Summary!A223,"")</f>
        <v/>
      </c>
      <c r="B222" s="21" t="str">
        <f>IF(Summary!J223&lt;&gt;"",Summary!J223,"")</f>
        <v/>
      </c>
      <c r="C222" s="44" t="str">
        <f>IF(Summary!E223+Summary!H223&gt;0,Summary!E223+Summary!H223,"")</f>
        <v/>
      </c>
      <c r="D222" s="40" t="str">
        <f>IF(Summary!L223&lt;&gt;"",Summary!L223,"")</f>
        <v/>
      </c>
      <c r="E222" s="40" t="str">
        <f>IF(Summary!M223&lt;&gt;"",Summary!M223,"")</f>
        <v/>
      </c>
      <c r="F222" s="20" t="str">
        <f>IF(Summary!N223&lt;&gt;"",Summary!N223,"")</f>
        <v/>
      </c>
      <c r="G222" s="20" t="str">
        <f>IF(Summary!O223&lt;&gt;"",Summary!O223,"")</f>
        <v/>
      </c>
    </row>
    <row r="223" spans="1:7">
      <c r="A223" s="39" t="str">
        <f>IF(Summary!A224&lt;&gt;"",Summary!A224,"")</f>
        <v/>
      </c>
      <c r="B223" s="21" t="str">
        <f>IF(Summary!J224&lt;&gt;"",Summary!J224,"")</f>
        <v/>
      </c>
      <c r="C223" s="44" t="str">
        <f>IF(Summary!E224+Summary!H224&gt;0,Summary!E224+Summary!H224,"")</f>
        <v/>
      </c>
      <c r="D223" s="40" t="str">
        <f>IF(Summary!L224&lt;&gt;"",Summary!L224,"")</f>
        <v/>
      </c>
      <c r="E223" s="40" t="str">
        <f>IF(Summary!M224&lt;&gt;"",Summary!M224,"")</f>
        <v/>
      </c>
      <c r="F223" s="20" t="str">
        <f>IF(Summary!N224&lt;&gt;"",Summary!N224,"")</f>
        <v/>
      </c>
      <c r="G223" s="20" t="str">
        <f>IF(Summary!O224&lt;&gt;"",Summary!O224,"")</f>
        <v/>
      </c>
    </row>
    <row r="224" spans="1:7">
      <c r="A224" s="39" t="str">
        <f>IF(Summary!A225&lt;&gt;"",Summary!A225,"")</f>
        <v/>
      </c>
      <c r="B224" s="21" t="str">
        <f>IF(Summary!J225&lt;&gt;"",Summary!J225,"")</f>
        <v/>
      </c>
      <c r="C224" s="44" t="str">
        <f>IF(Summary!E225+Summary!H225&gt;0,Summary!E225+Summary!H225,"")</f>
        <v/>
      </c>
      <c r="D224" s="40" t="str">
        <f>IF(Summary!L225&lt;&gt;"",Summary!L225,"")</f>
        <v/>
      </c>
      <c r="E224" s="40" t="str">
        <f>IF(Summary!M225&lt;&gt;"",Summary!M225,"")</f>
        <v/>
      </c>
      <c r="F224" s="20" t="str">
        <f>IF(Summary!N225&lt;&gt;"",Summary!N225,"")</f>
        <v/>
      </c>
      <c r="G224" s="20" t="str">
        <f>IF(Summary!O225&lt;&gt;"",Summary!O225,"")</f>
        <v/>
      </c>
    </row>
    <row r="225" spans="1:7">
      <c r="A225" s="39" t="str">
        <f>IF(Summary!A226&lt;&gt;"",Summary!A226,"")</f>
        <v/>
      </c>
      <c r="B225" s="21" t="str">
        <f>IF(Summary!J226&lt;&gt;"",Summary!J226,"")</f>
        <v/>
      </c>
      <c r="C225" s="44" t="str">
        <f>IF(Summary!E226+Summary!H226&gt;0,Summary!E226+Summary!H226,"")</f>
        <v/>
      </c>
      <c r="D225" s="40" t="str">
        <f>IF(Summary!L226&lt;&gt;"",Summary!L226,"")</f>
        <v/>
      </c>
      <c r="E225" s="40" t="str">
        <f>IF(Summary!M226&lt;&gt;"",Summary!M226,"")</f>
        <v/>
      </c>
      <c r="F225" s="20" t="str">
        <f>IF(Summary!N226&lt;&gt;"",Summary!N226,"")</f>
        <v/>
      </c>
      <c r="G225" s="20" t="str">
        <f>IF(Summary!O226&lt;&gt;"",Summary!O226,"")</f>
        <v/>
      </c>
    </row>
    <row r="226" spans="1:7">
      <c r="A226" s="39" t="str">
        <f>IF(Summary!A227&lt;&gt;"",Summary!A227,"")</f>
        <v/>
      </c>
      <c r="B226" s="21" t="str">
        <f>IF(Summary!J227&lt;&gt;"",Summary!J227,"")</f>
        <v/>
      </c>
      <c r="C226" s="44" t="str">
        <f>IF(Summary!E227+Summary!H227&gt;0,Summary!E227+Summary!H227,"")</f>
        <v/>
      </c>
      <c r="D226" s="40" t="str">
        <f>IF(Summary!L227&lt;&gt;"",Summary!L227,"")</f>
        <v/>
      </c>
      <c r="E226" s="40" t="str">
        <f>IF(Summary!M227&lt;&gt;"",Summary!M227,"")</f>
        <v/>
      </c>
      <c r="F226" s="20" t="str">
        <f>IF(Summary!N227&lt;&gt;"",Summary!N227,"")</f>
        <v/>
      </c>
      <c r="G226" s="20" t="str">
        <f>IF(Summary!O227&lt;&gt;"",Summary!O227,"")</f>
        <v/>
      </c>
    </row>
    <row r="227" spans="1:7">
      <c r="A227" s="39" t="str">
        <f>IF(Summary!A228&lt;&gt;"",Summary!A228,"")</f>
        <v/>
      </c>
      <c r="B227" s="21" t="str">
        <f>IF(Summary!J228&lt;&gt;"",Summary!J228,"")</f>
        <v/>
      </c>
      <c r="C227" s="44" t="str">
        <f>IF(Summary!E228+Summary!H228&gt;0,Summary!E228+Summary!H228,"")</f>
        <v/>
      </c>
      <c r="D227" s="40" t="str">
        <f>IF(Summary!L228&lt;&gt;"",Summary!L228,"")</f>
        <v/>
      </c>
      <c r="E227" s="40" t="str">
        <f>IF(Summary!M228&lt;&gt;"",Summary!M228,"")</f>
        <v/>
      </c>
      <c r="F227" s="20" t="str">
        <f>IF(Summary!N228&lt;&gt;"",Summary!N228,"")</f>
        <v/>
      </c>
      <c r="G227" s="20" t="str">
        <f>IF(Summary!O228&lt;&gt;"",Summary!O228,"")</f>
        <v/>
      </c>
    </row>
    <row r="228" spans="1:7">
      <c r="A228" s="39" t="str">
        <f>IF(Summary!A229&lt;&gt;"",Summary!A229,"")</f>
        <v/>
      </c>
      <c r="B228" s="21" t="str">
        <f>IF(Summary!J229&lt;&gt;"",Summary!J229,"")</f>
        <v/>
      </c>
      <c r="C228" s="44" t="str">
        <f>IF(Summary!E229+Summary!H229&gt;0,Summary!E229+Summary!H229,"")</f>
        <v/>
      </c>
      <c r="D228" s="40" t="str">
        <f>IF(Summary!L229&lt;&gt;"",Summary!L229,"")</f>
        <v/>
      </c>
      <c r="E228" s="40" t="str">
        <f>IF(Summary!M229&lt;&gt;"",Summary!M229,"")</f>
        <v/>
      </c>
      <c r="F228" s="20" t="str">
        <f>IF(Summary!N229&lt;&gt;"",Summary!N229,"")</f>
        <v/>
      </c>
      <c r="G228" s="20" t="str">
        <f>IF(Summary!O229&lt;&gt;"",Summary!O229,"")</f>
        <v/>
      </c>
    </row>
    <row r="229" spans="1:7">
      <c r="A229" s="39" t="str">
        <f>IF(Summary!A230&lt;&gt;"",Summary!A230,"")</f>
        <v/>
      </c>
      <c r="B229" s="21" t="str">
        <f>IF(Summary!J230&lt;&gt;"",Summary!J230,"")</f>
        <v/>
      </c>
      <c r="C229" s="44" t="str">
        <f>IF(Summary!E230+Summary!H230&gt;0,Summary!E230+Summary!H230,"")</f>
        <v/>
      </c>
      <c r="D229" s="40" t="str">
        <f>IF(Summary!L230&lt;&gt;"",Summary!L230,"")</f>
        <v/>
      </c>
      <c r="E229" s="40" t="str">
        <f>IF(Summary!M230&lt;&gt;"",Summary!M230,"")</f>
        <v/>
      </c>
      <c r="F229" s="20" t="str">
        <f>IF(Summary!N230&lt;&gt;"",Summary!N230,"")</f>
        <v/>
      </c>
      <c r="G229" s="20" t="str">
        <f>IF(Summary!O230&lt;&gt;"",Summary!O230,"")</f>
        <v/>
      </c>
    </row>
    <row r="230" spans="1:7">
      <c r="A230" s="39" t="str">
        <f>IF(Summary!A231&lt;&gt;"",Summary!A231,"")</f>
        <v/>
      </c>
      <c r="B230" s="21" t="str">
        <f>IF(Summary!J231&lt;&gt;"",Summary!J231,"")</f>
        <v/>
      </c>
      <c r="C230" s="44" t="str">
        <f>IF(Summary!E231+Summary!H231&gt;0,Summary!E231+Summary!H231,"")</f>
        <v/>
      </c>
      <c r="D230" s="40" t="str">
        <f>IF(Summary!L231&lt;&gt;"",Summary!L231,"")</f>
        <v/>
      </c>
      <c r="E230" s="40" t="str">
        <f>IF(Summary!M231&lt;&gt;"",Summary!M231,"")</f>
        <v/>
      </c>
      <c r="F230" s="20" t="str">
        <f>IF(Summary!N231&lt;&gt;"",Summary!N231,"")</f>
        <v/>
      </c>
      <c r="G230" s="20" t="str">
        <f>IF(Summary!O231&lt;&gt;"",Summary!O231,"")</f>
        <v/>
      </c>
    </row>
    <row r="231" spans="1:7">
      <c r="A231" s="39" t="str">
        <f>IF(Summary!A232&lt;&gt;"",Summary!A232,"")</f>
        <v/>
      </c>
      <c r="B231" s="21" t="str">
        <f>IF(Summary!J232&lt;&gt;"",Summary!J232,"")</f>
        <v/>
      </c>
      <c r="C231" s="44" t="str">
        <f>IF(Summary!E232+Summary!H232&gt;0,Summary!E232+Summary!H232,"")</f>
        <v/>
      </c>
      <c r="D231" s="40" t="str">
        <f>IF(Summary!L232&lt;&gt;"",Summary!L232,"")</f>
        <v/>
      </c>
      <c r="E231" s="40" t="str">
        <f>IF(Summary!M232&lt;&gt;"",Summary!M232,"")</f>
        <v/>
      </c>
      <c r="F231" s="20" t="str">
        <f>IF(Summary!N232&lt;&gt;"",Summary!N232,"")</f>
        <v/>
      </c>
      <c r="G231" s="20" t="str">
        <f>IF(Summary!O232&lt;&gt;"",Summary!O232,"")</f>
        <v/>
      </c>
    </row>
    <row r="232" spans="1:7">
      <c r="A232" s="39" t="str">
        <f>IF(Summary!A233&lt;&gt;"",Summary!A233,"")</f>
        <v/>
      </c>
      <c r="B232" s="21" t="str">
        <f>IF(Summary!J233&lt;&gt;"",Summary!J233,"")</f>
        <v/>
      </c>
      <c r="C232" s="44" t="str">
        <f>IF(Summary!E233+Summary!H233&gt;0,Summary!E233+Summary!H233,"")</f>
        <v/>
      </c>
      <c r="D232" s="40" t="str">
        <f>IF(Summary!L233&lt;&gt;"",Summary!L233,"")</f>
        <v/>
      </c>
      <c r="E232" s="40" t="str">
        <f>IF(Summary!M233&lt;&gt;"",Summary!M233,"")</f>
        <v/>
      </c>
      <c r="F232" s="20" t="str">
        <f>IF(Summary!N233&lt;&gt;"",Summary!N233,"")</f>
        <v/>
      </c>
      <c r="G232" s="20" t="str">
        <f>IF(Summary!O233&lt;&gt;"",Summary!O233,"")</f>
        <v/>
      </c>
    </row>
    <row r="233" spans="1:7">
      <c r="A233" s="39" t="str">
        <f>IF(Summary!A234&lt;&gt;"",Summary!A234,"")</f>
        <v/>
      </c>
      <c r="B233" s="21" t="str">
        <f>IF(Summary!J234&lt;&gt;"",Summary!J234,"")</f>
        <v/>
      </c>
      <c r="C233" s="44" t="str">
        <f>IF(Summary!E234+Summary!H234&gt;0,Summary!E234+Summary!H234,"")</f>
        <v/>
      </c>
      <c r="D233" s="40" t="str">
        <f>IF(Summary!L234&lt;&gt;"",Summary!L234,"")</f>
        <v/>
      </c>
      <c r="E233" s="40" t="str">
        <f>IF(Summary!M234&lt;&gt;"",Summary!M234,"")</f>
        <v/>
      </c>
      <c r="F233" s="20" t="str">
        <f>IF(Summary!N234&lt;&gt;"",Summary!N234,"")</f>
        <v/>
      </c>
      <c r="G233" s="20" t="str">
        <f>IF(Summary!O234&lt;&gt;"",Summary!O234,"")</f>
        <v/>
      </c>
    </row>
    <row r="234" spans="1:7">
      <c r="A234" s="39" t="str">
        <f>IF(Summary!A235&lt;&gt;"",Summary!A235,"")</f>
        <v/>
      </c>
      <c r="B234" s="21" t="str">
        <f>IF(Summary!J235&lt;&gt;"",Summary!J235,"")</f>
        <v/>
      </c>
      <c r="C234" s="44" t="str">
        <f>IF(Summary!E235+Summary!H235&gt;0,Summary!E235+Summary!H235,"")</f>
        <v/>
      </c>
      <c r="D234" s="40" t="str">
        <f>IF(Summary!L235&lt;&gt;"",Summary!L235,"")</f>
        <v/>
      </c>
      <c r="E234" s="40" t="str">
        <f>IF(Summary!M235&lt;&gt;"",Summary!M235,"")</f>
        <v/>
      </c>
      <c r="F234" s="20" t="str">
        <f>IF(Summary!N235&lt;&gt;"",Summary!N235,"")</f>
        <v/>
      </c>
      <c r="G234" s="20" t="str">
        <f>IF(Summary!O235&lt;&gt;"",Summary!O235,"")</f>
        <v/>
      </c>
    </row>
    <row r="235" spans="1:7">
      <c r="A235" s="39" t="str">
        <f>IF(Summary!A236&lt;&gt;"",Summary!A236,"")</f>
        <v/>
      </c>
      <c r="B235" s="21" t="str">
        <f>IF(Summary!J236&lt;&gt;"",Summary!J236,"")</f>
        <v/>
      </c>
      <c r="C235" s="44" t="str">
        <f>IF(Summary!E236+Summary!H236&gt;0,Summary!E236+Summary!H236,"")</f>
        <v/>
      </c>
      <c r="D235" s="40" t="str">
        <f>IF(Summary!L236&lt;&gt;"",Summary!L236,"")</f>
        <v/>
      </c>
      <c r="E235" s="40" t="str">
        <f>IF(Summary!M236&lt;&gt;"",Summary!M236,"")</f>
        <v/>
      </c>
      <c r="F235" s="20" t="str">
        <f>IF(Summary!N236&lt;&gt;"",Summary!N236,"")</f>
        <v/>
      </c>
      <c r="G235" s="20" t="str">
        <f>IF(Summary!O236&lt;&gt;"",Summary!O236,"")</f>
        <v/>
      </c>
    </row>
    <row r="236" spans="1:7">
      <c r="A236" s="39" t="str">
        <f>IF(Summary!A237&lt;&gt;"",Summary!A237,"")</f>
        <v/>
      </c>
      <c r="B236" s="21" t="str">
        <f>IF(Summary!J237&lt;&gt;"",Summary!J237,"")</f>
        <v/>
      </c>
      <c r="C236" s="44" t="str">
        <f>IF(Summary!E237+Summary!H237&gt;0,Summary!E237+Summary!H237,"")</f>
        <v/>
      </c>
      <c r="D236" s="40" t="str">
        <f>IF(Summary!L237&lt;&gt;"",Summary!L237,"")</f>
        <v/>
      </c>
      <c r="E236" s="40" t="str">
        <f>IF(Summary!M237&lt;&gt;"",Summary!M237,"")</f>
        <v/>
      </c>
      <c r="F236" s="20" t="str">
        <f>IF(Summary!N237&lt;&gt;"",Summary!N237,"")</f>
        <v/>
      </c>
      <c r="G236" s="20" t="str">
        <f>IF(Summary!O237&lt;&gt;"",Summary!O237,"")</f>
        <v/>
      </c>
    </row>
    <row r="237" spans="1:7">
      <c r="A237" s="39" t="str">
        <f>IF(Summary!A238&lt;&gt;"",Summary!A238,"")</f>
        <v/>
      </c>
      <c r="B237" s="21" t="str">
        <f>IF(Summary!J238&lt;&gt;"",Summary!J238,"")</f>
        <v/>
      </c>
      <c r="C237" s="44" t="str">
        <f>IF(Summary!E238+Summary!H238&gt;0,Summary!E238+Summary!H238,"")</f>
        <v/>
      </c>
      <c r="D237" s="40" t="str">
        <f>IF(Summary!L238&lt;&gt;"",Summary!L238,"")</f>
        <v/>
      </c>
      <c r="E237" s="40" t="str">
        <f>IF(Summary!M238&lt;&gt;"",Summary!M238,"")</f>
        <v/>
      </c>
      <c r="F237" s="20" t="str">
        <f>IF(Summary!N238&lt;&gt;"",Summary!N238,"")</f>
        <v/>
      </c>
      <c r="G237" s="20" t="str">
        <f>IF(Summary!O238&lt;&gt;"",Summary!O238,"")</f>
        <v/>
      </c>
    </row>
    <row r="238" spans="1:7">
      <c r="A238" s="39" t="str">
        <f>IF(Summary!A239&lt;&gt;"",Summary!A239,"")</f>
        <v/>
      </c>
      <c r="B238" s="21" t="str">
        <f>IF(Summary!J239&lt;&gt;"",Summary!J239,"")</f>
        <v/>
      </c>
      <c r="C238" s="44" t="str">
        <f>IF(Summary!E239+Summary!H239&gt;0,Summary!E239+Summary!H239,"")</f>
        <v/>
      </c>
      <c r="D238" s="40" t="str">
        <f>IF(Summary!L239&lt;&gt;"",Summary!L239,"")</f>
        <v/>
      </c>
      <c r="E238" s="40" t="str">
        <f>IF(Summary!M239&lt;&gt;"",Summary!M239,"")</f>
        <v/>
      </c>
      <c r="F238" s="20" t="str">
        <f>IF(Summary!N239&lt;&gt;"",Summary!N239,"")</f>
        <v/>
      </c>
      <c r="G238" s="20" t="str">
        <f>IF(Summary!O239&lt;&gt;"",Summary!O239,"")</f>
        <v/>
      </c>
    </row>
    <row r="239" spans="1:7">
      <c r="A239" s="39" t="str">
        <f>IF(Summary!A240&lt;&gt;"",Summary!A240,"")</f>
        <v/>
      </c>
      <c r="B239" s="21" t="str">
        <f>IF(Summary!J240&lt;&gt;"",Summary!J240,"")</f>
        <v/>
      </c>
      <c r="C239" s="44" t="str">
        <f>IF(Summary!E240+Summary!H240&gt;0,Summary!E240+Summary!H240,"")</f>
        <v/>
      </c>
      <c r="D239" s="40" t="str">
        <f>IF(Summary!L240&lt;&gt;"",Summary!L240,"")</f>
        <v/>
      </c>
      <c r="E239" s="40" t="str">
        <f>IF(Summary!M240&lt;&gt;"",Summary!M240,"")</f>
        <v/>
      </c>
      <c r="F239" s="20" t="str">
        <f>IF(Summary!N240&lt;&gt;"",Summary!N240,"")</f>
        <v/>
      </c>
      <c r="G239" s="20" t="str">
        <f>IF(Summary!O240&lt;&gt;"",Summary!O240,"")</f>
        <v/>
      </c>
    </row>
    <row r="240" spans="1:7">
      <c r="A240" s="39" t="str">
        <f>IF(Summary!A241&lt;&gt;"",Summary!A241,"")</f>
        <v/>
      </c>
      <c r="B240" s="21" t="str">
        <f>IF(Summary!J241&lt;&gt;"",Summary!J241,"")</f>
        <v/>
      </c>
      <c r="C240" s="44" t="str">
        <f>IF(Summary!E241+Summary!H241&gt;0,Summary!E241+Summary!H241,"")</f>
        <v/>
      </c>
      <c r="D240" s="40" t="str">
        <f>IF(Summary!L241&lt;&gt;"",Summary!L241,"")</f>
        <v/>
      </c>
      <c r="E240" s="40" t="str">
        <f>IF(Summary!M241&lt;&gt;"",Summary!M241,"")</f>
        <v/>
      </c>
      <c r="F240" s="20" t="str">
        <f>IF(Summary!N241&lt;&gt;"",Summary!N241,"")</f>
        <v/>
      </c>
      <c r="G240" s="20" t="str">
        <f>IF(Summary!O241&lt;&gt;"",Summary!O241,"")</f>
        <v/>
      </c>
    </row>
    <row r="241" spans="1:7">
      <c r="A241" s="39" t="str">
        <f>IF(Summary!A242&lt;&gt;"",Summary!A242,"")</f>
        <v/>
      </c>
      <c r="B241" s="21" t="str">
        <f>IF(Summary!J242&lt;&gt;"",Summary!J242,"")</f>
        <v/>
      </c>
      <c r="C241" s="44" t="str">
        <f>IF(Summary!E242+Summary!H242&gt;0,Summary!E242+Summary!H242,"")</f>
        <v/>
      </c>
      <c r="D241" s="40" t="str">
        <f>IF(Summary!L242&lt;&gt;"",Summary!L242,"")</f>
        <v/>
      </c>
      <c r="E241" s="40" t="str">
        <f>IF(Summary!M242&lt;&gt;"",Summary!M242,"")</f>
        <v/>
      </c>
      <c r="F241" s="20" t="str">
        <f>IF(Summary!N242&lt;&gt;"",Summary!N242,"")</f>
        <v/>
      </c>
      <c r="G241" s="20" t="str">
        <f>IF(Summary!O242&lt;&gt;"",Summary!O242,"")</f>
        <v/>
      </c>
    </row>
    <row r="242" spans="1:7">
      <c r="A242" s="39" t="str">
        <f>IF(Summary!A243&lt;&gt;"",Summary!A243,"")</f>
        <v/>
      </c>
      <c r="B242" s="21" t="str">
        <f>IF(Summary!J243&lt;&gt;"",Summary!J243,"")</f>
        <v/>
      </c>
      <c r="C242" s="44" t="str">
        <f>IF(Summary!E243+Summary!H243&gt;0,Summary!E243+Summary!H243,"")</f>
        <v/>
      </c>
      <c r="D242" s="40" t="str">
        <f>IF(Summary!L243&lt;&gt;"",Summary!L243,"")</f>
        <v/>
      </c>
      <c r="E242" s="40" t="str">
        <f>IF(Summary!M243&lt;&gt;"",Summary!M243,"")</f>
        <v/>
      </c>
      <c r="F242" s="20" t="str">
        <f>IF(Summary!N243&lt;&gt;"",Summary!N243,"")</f>
        <v/>
      </c>
      <c r="G242" s="20" t="str">
        <f>IF(Summary!O243&lt;&gt;"",Summary!O243,"")</f>
        <v/>
      </c>
    </row>
    <row r="243" spans="1:7">
      <c r="A243" s="39" t="str">
        <f>IF(Summary!A244&lt;&gt;"",Summary!A244,"")</f>
        <v/>
      </c>
      <c r="B243" s="21" t="str">
        <f>IF(Summary!J244&lt;&gt;"",Summary!J244,"")</f>
        <v/>
      </c>
      <c r="C243" s="44" t="str">
        <f>IF(Summary!E244+Summary!H244&gt;0,Summary!E244+Summary!H244,"")</f>
        <v/>
      </c>
      <c r="D243" s="40" t="str">
        <f>IF(Summary!L244&lt;&gt;"",Summary!L244,"")</f>
        <v/>
      </c>
      <c r="E243" s="40" t="str">
        <f>IF(Summary!M244&lt;&gt;"",Summary!M244,"")</f>
        <v/>
      </c>
      <c r="F243" s="20" t="str">
        <f>IF(Summary!N244&lt;&gt;"",Summary!N244,"")</f>
        <v/>
      </c>
      <c r="G243" s="20" t="str">
        <f>IF(Summary!O244&lt;&gt;"",Summary!O244,"")</f>
        <v/>
      </c>
    </row>
    <row r="244" spans="1:7">
      <c r="A244" s="39" t="str">
        <f>IF(Summary!A245&lt;&gt;"",Summary!A245,"")</f>
        <v/>
      </c>
      <c r="B244" s="21" t="str">
        <f>IF(Summary!J245&lt;&gt;"",Summary!J245,"")</f>
        <v/>
      </c>
      <c r="C244" s="44" t="str">
        <f>IF(Summary!E245+Summary!H245&gt;0,Summary!E245+Summary!H245,"")</f>
        <v/>
      </c>
      <c r="D244" s="40" t="str">
        <f>IF(Summary!L245&lt;&gt;"",Summary!L245,"")</f>
        <v/>
      </c>
      <c r="E244" s="40" t="str">
        <f>IF(Summary!M245&lt;&gt;"",Summary!M245,"")</f>
        <v/>
      </c>
      <c r="F244" s="20" t="str">
        <f>IF(Summary!N245&lt;&gt;"",Summary!N245,"")</f>
        <v/>
      </c>
      <c r="G244" s="20" t="str">
        <f>IF(Summary!O245&lt;&gt;"",Summary!O245,"")</f>
        <v/>
      </c>
    </row>
    <row r="245" spans="1:7">
      <c r="A245" s="39" t="str">
        <f>IF(Summary!A246&lt;&gt;"",Summary!A246,"")</f>
        <v/>
      </c>
      <c r="B245" s="21" t="str">
        <f>IF(Summary!J246&lt;&gt;"",Summary!J246,"")</f>
        <v/>
      </c>
      <c r="C245" s="44" t="str">
        <f>IF(Summary!E246+Summary!H246&gt;0,Summary!E246+Summary!H246,"")</f>
        <v/>
      </c>
      <c r="D245" s="40" t="str">
        <f>IF(Summary!L246&lt;&gt;"",Summary!L246,"")</f>
        <v/>
      </c>
      <c r="E245" s="40" t="str">
        <f>IF(Summary!M246&lt;&gt;"",Summary!M246,"")</f>
        <v/>
      </c>
      <c r="F245" s="20" t="str">
        <f>IF(Summary!N246&lt;&gt;"",Summary!N246,"")</f>
        <v/>
      </c>
      <c r="G245" s="20" t="str">
        <f>IF(Summary!O246&lt;&gt;"",Summary!O246,"")</f>
        <v/>
      </c>
    </row>
    <row r="246" spans="1:7">
      <c r="A246" s="39" t="str">
        <f>IF(Summary!A247&lt;&gt;"",Summary!A247,"")</f>
        <v/>
      </c>
      <c r="B246" s="21" t="str">
        <f>IF(Summary!J247&lt;&gt;"",Summary!J247,"")</f>
        <v/>
      </c>
      <c r="C246" s="44" t="str">
        <f>IF(Summary!E247+Summary!H247&gt;0,Summary!E247+Summary!H247,"")</f>
        <v/>
      </c>
      <c r="D246" s="40" t="str">
        <f>IF(Summary!L247&lt;&gt;"",Summary!L247,"")</f>
        <v/>
      </c>
      <c r="E246" s="40" t="str">
        <f>IF(Summary!M247&lt;&gt;"",Summary!M247,"")</f>
        <v/>
      </c>
      <c r="F246" s="20" t="str">
        <f>IF(Summary!N247&lt;&gt;"",Summary!N247,"")</f>
        <v/>
      </c>
      <c r="G246" s="20" t="str">
        <f>IF(Summary!O247&lt;&gt;"",Summary!O247,"")</f>
        <v/>
      </c>
    </row>
    <row r="247" spans="1:7">
      <c r="A247" s="39" t="str">
        <f>IF(Summary!A248&lt;&gt;"",Summary!A248,"")</f>
        <v/>
      </c>
      <c r="B247" s="21" t="str">
        <f>IF(Summary!J248&lt;&gt;"",Summary!J248,"")</f>
        <v/>
      </c>
      <c r="C247" s="44" t="str">
        <f>IF(Summary!E248+Summary!H248&gt;0,Summary!E248+Summary!H248,"")</f>
        <v/>
      </c>
      <c r="D247" s="40" t="str">
        <f>IF(Summary!L248&lt;&gt;"",Summary!L248,"")</f>
        <v/>
      </c>
      <c r="E247" s="40" t="str">
        <f>IF(Summary!M248&lt;&gt;"",Summary!M248,"")</f>
        <v/>
      </c>
      <c r="F247" s="20" t="str">
        <f>IF(Summary!N248&lt;&gt;"",Summary!N248,"")</f>
        <v/>
      </c>
      <c r="G247" s="20" t="str">
        <f>IF(Summary!O248&lt;&gt;"",Summary!O248,"")</f>
        <v/>
      </c>
    </row>
    <row r="248" spans="1:7">
      <c r="A248" s="39" t="str">
        <f>IF(Summary!A249&lt;&gt;"",Summary!A249,"")</f>
        <v/>
      </c>
      <c r="B248" s="21" t="str">
        <f>IF(Summary!J249&lt;&gt;"",Summary!J249,"")</f>
        <v/>
      </c>
      <c r="C248" s="44" t="str">
        <f>IF(Summary!E249+Summary!H249&gt;0,Summary!E249+Summary!H249,"")</f>
        <v/>
      </c>
      <c r="D248" s="40" t="str">
        <f>IF(Summary!L249&lt;&gt;"",Summary!L249,"")</f>
        <v/>
      </c>
      <c r="E248" s="40" t="str">
        <f>IF(Summary!M249&lt;&gt;"",Summary!M249,"")</f>
        <v/>
      </c>
      <c r="F248" s="20" t="str">
        <f>IF(Summary!N249&lt;&gt;"",Summary!N249,"")</f>
        <v/>
      </c>
      <c r="G248" s="20" t="str">
        <f>IF(Summary!O249&lt;&gt;"",Summary!O249,"")</f>
        <v/>
      </c>
    </row>
    <row r="249" spans="1:7">
      <c r="A249" s="39" t="str">
        <f>IF(Summary!A250&lt;&gt;"",Summary!A250,"")</f>
        <v/>
      </c>
      <c r="B249" s="21" t="str">
        <f>IF(Summary!J250&lt;&gt;"",Summary!J250,"")</f>
        <v/>
      </c>
      <c r="C249" s="44" t="str">
        <f>IF(Summary!E250+Summary!H250&gt;0,Summary!E250+Summary!H250,"")</f>
        <v/>
      </c>
      <c r="D249" s="40" t="str">
        <f>IF(Summary!L250&lt;&gt;"",Summary!L250,"")</f>
        <v/>
      </c>
      <c r="E249" s="40" t="str">
        <f>IF(Summary!M250&lt;&gt;"",Summary!M250,"")</f>
        <v/>
      </c>
      <c r="F249" s="20" t="str">
        <f>IF(Summary!N250&lt;&gt;"",Summary!N250,"")</f>
        <v/>
      </c>
      <c r="G249" s="20" t="str">
        <f>IF(Summary!O250&lt;&gt;"",Summary!O250,"")</f>
        <v/>
      </c>
    </row>
    <row r="250" spans="1:7">
      <c r="A250" s="39" t="str">
        <f>IF(Summary!A251&lt;&gt;"",Summary!A251,"")</f>
        <v/>
      </c>
      <c r="B250" s="21" t="str">
        <f>IF(Summary!J251&lt;&gt;"",Summary!J251,"")</f>
        <v/>
      </c>
      <c r="C250" s="44" t="str">
        <f>IF(Summary!E251+Summary!H251&gt;0,Summary!E251+Summary!H251,"")</f>
        <v/>
      </c>
      <c r="D250" s="40" t="str">
        <f>IF(Summary!L251&lt;&gt;"",Summary!L251,"")</f>
        <v/>
      </c>
      <c r="E250" s="40" t="str">
        <f>IF(Summary!M251&lt;&gt;"",Summary!M251,"")</f>
        <v/>
      </c>
      <c r="F250" s="20" t="str">
        <f>IF(Summary!N251&lt;&gt;"",Summary!N251,"")</f>
        <v/>
      </c>
      <c r="G250" s="20" t="str">
        <f>IF(Summary!O251&lt;&gt;"",Summary!O251,"")</f>
        <v/>
      </c>
    </row>
    <row r="251" spans="1:7">
      <c r="A251" s="39" t="str">
        <f>IF(Summary!A252&lt;&gt;"",Summary!A252,"")</f>
        <v/>
      </c>
      <c r="B251" s="21" t="str">
        <f>IF(Summary!J252&lt;&gt;"",Summary!J252,"")</f>
        <v/>
      </c>
      <c r="C251" s="44" t="str">
        <f>IF(Summary!E252+Summary!H252&gt;0,Summary!E252+Summary!H252,"")</f>
        <v/>
      </c>
      <c r="D251" s="40" t="str">
        <f>IF(Summary!L252&lt;&gt;"",Summary!L252,"")</f>
        <v/>
      </c>
      <c r="E251" s="40" t="str">
        <f>IF(Summary!M252&lt;&gt;"",Summary!M252,"")</f>
        <v/>
      </c>
      <c r="F251" s="20" t="str">
        <f>IF(Summary!N252&lt;&gt;"",Summary!N252,"")</f>
        <v/>
      </c>
      <c r="G251" s="20" t="str">
        <f>IF(Summary!O252&lt;&gt;"",Summary!O252,"")</f>
        <v/>
      </c>
    </row>
    <row r="252" spans="1:7">
      <c r="A252" s="39" t="str">
        <f>IF(Summary!A253&lt;&gt;"",Summary!A253,"")</f>
        <v/>
      </c>
      <c r="B252" s="21" t="str">
        <f>IF(Summary!J253&lt;&gt;"",Summary!J253,"")</f>
        <v/>
      </c>
      <c r="C252" s="44" t="str">
        <f>IF(Summary!E253+Summary!H253&gt;0,Summary!E253+Summary!H253,"")</f>
        <v/>
      </c>
      <c r="D252" s="40" t="str">
        <f>IF(Summary!L253&lt;&gt;"",Summary!L253,"")</f>
        <v/>
      </c>
      <c r="E252" s="40" t="str">
        <f>IF(Summary!M253&lt;&gt;"",Summary!M253,"")</f>
        <v/>
      </c>
      <c r="F252" s="20" t="str">
        <f>IF(Summary!N253&lt;&gt;"",Summary!N253,"")</f>
        <v/>
      </c>
      <c r="G252" s="20" t="str">
        <f>IF(Summary!O253&lt;&gt;"",Summary!O253,"")</f>
        <v/>
      </c>
    </row>
    <row r="253" spans="1:7">
      <c r="A253" s="39" t="str">
        <f>IF(Summary!A254&lt;&gt;"",Summary!A254,"")</f>
        <v/>
      </c>
      <c r="B253" s="21" t="str">
        <f>IF(Summary!J254&lt;&gt;"",Summary!J254,"")</f>
        <v/>
      </c>
      <c r="C253" s="44" t="str">
        <f>IF(Summary!E254+Summary!H254&gt;0,Summary!E254+Summary!H254,"")</f>
        <v/>
      </c>
      <c r="D253" s="40" t="str">
        <f>IF(Summary!L254&lt;&gt;"",Summary!L254,"")</f>
        <v/>
      </c>
      <c r="E253" s="40" t="str">
        <f>IF(Summary!M254&lt;&gt;"",Summary!M254,"")</f>
        <v/>
      </c>
      <c r="F253" s="20" t="str">
        <f>IF(Summary!N254&lt;&gt;"",Summary!N254,"")</f>
        <v/>
      </c>
      <c r="G253" s="20" t="str">
        <f>IF(Summary!O254&lt;&gt;"",Summary!O254,"")</f>
        <v/>
      </c>
    </row>
    <row r="254" spans="1:7">
      <c r="A254" s="39" t="str">
        <f>IF(Summary!A255&lt;&gt;"",Summary!A255,"")</f>
        <v/>
      </c>
      <c r="B254" s="21" t="str">
        <f>IF(Summary!J255&lt;&gt;"",Summary!J255,"")</f>
        <v/>
      </c>
      <c r="C254" s="44" t="str">
        <f>IF(Summary!E255+Summary!H255&gt;0,Summary!E255+Summary!H255,"")</f>
        <v/>
      </c>
      <c r="D254" s="40" t="str">
        <f>IF(Summary!L255&lt;&gt;"",Summary!L255,"")</f>
        <v/>
      </c>
      <c r="E254" s="40" t="str">
        <f>IF(Summary!M255&lt;&gt;"",Summary!M255,"")</f>
        <v/>
      </c>
      <c r="F254" s="20" t="str">
        <f>IF(Summary!N255&lt;&gt;"",Summary!N255,"")</f>
        <v/>
      </c>
      <c r="G254" s="20" t="str">
        <f>IF(Summary!O255&lt;&gt;"",Summary!O255,"")</f>
        <v/>
      </c>
    </row>
    <row r="255" spans="1:7">
      <c r="A255" s="39" t="str">
        <f>IF(Summary!A256&lt;&gt;"",Summary!A256,"")</f>
        <v/>
      </c>
      <c r="B255" s="21" t="str">
        <f>IF(Summary!J256&lt;&gt;"",Summary!J256,"")</f>
        <v/>
      </c>
      <c r="C255" s="44" t="str">
        <f>IF(Summary!E256+Summary!H256&gt;0,Summary!E256+Summary!H256,"")</f>
        <v/>
      </c>
      <c r="D255" s="40" t="str">
        <f>IF(Summary!L256&lt;&gt;"",Summary!L256,"")</f>
        <v/>
      </c>
      <c r="E255" s="40" t="str">
        <f>IF(Summary!M256&lt;&gt;"",Summary!M256,"")</f>
        <v/>
      </c>
      <c r="F255" s="20" t="str">
        <f>IF(Summary!N256&lt;&gt;"",Summary!N256,"")</f>
        <v/>
      </c>
      <c r="G255" s="20" t="str">
        <f>IF(Summary!O256&lt;&gt;"",Summary!O256,"")</f>
        <v/>
      </c>
    </row>
    <row r="256" spans="1:7">
      <c r="A256" s="39" t="str">
        <f>IF(Summary!A257&lt;&gt;"",Summary!A257,"")</f>
        <v/>
      </c>
      <c r="B256" s="21" t="str">
        <f>IF(Summary!J257&lt;&gt;"",Summary!J257,"")</f>
        <v/>
      </c>
      <c r="C256" s="44" t="str">
        <f>IF(Summary!E257+Summary!H257&gt;0,Summary!E257+Summary!H257,"")</f>
        <v/>
      </c>
      <c r="D256" s="40" t="str">
        <f>IF(Summary!L257&lt;&gt;"",Summary!L257,"")</f>
        <v/>
      </c>
      <c r="E256" s="40" t="str">
        <f>IF(Summary!M257&lt;&gt;"",Summary!M257,"")</f>
        <v/>
      </c>
      <c r="F256" s="20" t="str">
        <f>IF(Summary!N257&lt;&gt;"",Summary!N257,"")</f>
        <v/>
      </c>
      <c r="G256" s="20" t="str">
        <f>IF(Summary!O257&lt;&gt;"",Summary!O257,"")</f>
        <v/>
      </c>
    </row>
    <row r="257" spans="1:7">
      <c r="A257" s="39" t="str">
        <f>IF(Summary!A258&lt;&gt;"",Summary!A258,"")</f>
        <v/>
      </c>
      <c r="B257" s="21" t="str">
        <f>IF(Summary!J258&lt;&gt;"",Summary!J258,"")</f>
        <v/>
      </c>
      <c r="C257" s="44" t="str">
        <f>IF(Summary!E258+Summary!H258&gt;0,Summary!E258+Summary!H258,"")</f>
        <v/>
      </c>
      <c r="D257" s="40" t="str">
        <f>IF(Summary!L258&lt;&gt;"",Summary!L258,"")</f>
        <v/>
      </c>
      <c r="E257" s="40" t="str">
        <f>IF(Summary!M258&lt;&gt;"",Summary!M258,"")</f>
        <v/>
      </c>
      <c r="F257" s="20" t="str">
        <f>IF(Summary!N258&lt;&gt;"",Summary!N258,"")</f>
        <v/>
      </c>
      <c r="G257" s="20" t="str">
        <f>IF(Summary!O258&lt;&gt;"",Summary!O258,"")</f>
        <v/>
      </c>
    </row>
    <row r="258" spans="1:7">
      <c r="A258" s="39" t="str">
        <f>IF(Summary!A259&lt;&gt;"",Summary!A259,"")</f>
        <v/>
      </c>
      <c r="B258" s="21" t="str">
        <f>IF(Summary!J259&lt;&gt;"",Summary!J259,"")</f>
        <v/>
      </c>
      <c r="C258" s="44" t="str">
        <f>IF(Summary!E259+Summary!H259&gt;0,Summary!E259+Summary!H259,"")</f>
        <v/>
      </c>
      <c r="D258" s="40" t="str">
        <f>IF(Summary!L259&lt;&gt;"",Summary!L259,"")</f>
        <v/>
      </c>
      <c r="E258" s="40" t="str">
        <f>IF(Summary!M259&lt;&gt;"",Summary!M259,"")</f>
        <v/>
      </c>
      <c r="F258" s="20" t="str">
        <f>IF(Summary!N259&lt;&gt;"",Summary!N259,"")</f>
        <v/>
      </c>
      <c r="G258" s="20" t="str">
        <f>IF(Summary!O259&lt;&gt;"",Summary!O259,"")</f>
        <v/>
      </c>
    </row>
    <row r="259" spans="1:7">
      <c r="A259" s="39" t="str">
        <f>IF(Summary!A260&lt;&gt;"",Summary!A260,"")</f>
        <v/>
      </c>
      <c r="B259" s="21" t="str">
        <f>IF(Summary!J260&lt;&gt;"",Summary!J260,"")</f>
        <v/>
      </c>
      <c r="C259" s="44" t="str">
        <f>IF(Summary!E260+Summary!H260&gt;0,Summary!E260+Summary!H260,"")</f>
        <v/>
      </c>
      <c r="D259" s="40" t="str">
        <f>IF(Summary!L260&lt;&gt;"",Summary!L260,"")</f>
        <v/>
      </c>
      <c r="E259" s="40" t="str">
        <f>IF(Summary!M260&lt;&gt;"",Summary!M260,"")</f>
        <v/>
      </c>
      <c r="F259" s="20" t="str">
        <f>IF(Summary!N260&lt;&gt;"",Summary!N260,"")</f>
        <v/>
      </c>
      <c r="G259" s="20" t="str">
        <f>IF(Summary!O260&lt;&gt;"",Summary!O260,"")</f>
        <v/>
      </c>
    </row>
    <row r="260" spans="1:7">
      <c r="A260" s="39" t="str">
        <f>IF(Summary!A261&lt;&gt;"",Summary!A261,"")</f>
        <v/>
      </c>
      <c r="B260" s="21" t="str">
        <f>IF(Summary!J261&lt;&gt;"",Summary!J261,"")</f>
        <v/>
      </c>
      <c r="C260" s="44" t="str">
        <f>IF(Summary!E261+Summary!H261&gt;0,Summary!E261+Summary!H261,"")</f>
        <v/>
      </c>
      <c r="D260" s="40" t="str">
        <f>IF(Summary!L261&lt;&gt;"",Summary!L261,"")</f>
        <v/>
      </c>
      <c r="E260" s="40" t="str">
        <f>IF(Summary!M261&lt;&gt;"",Summary!M261,"")</f>
        <v/>
      </c>
      <c r="F260" s="20" t="str">
        <f>IF(Summary!N261&lt;&gt;"",Summary!N261,"")</f>
        <v/>
      </c>
      <c r="G260" s="20" t="str">
        <f>IF(Summary!O261&lt;&gt;"",Summary!O261,"")</f>
        <v/>
      </c>
    </row>
    <row r="261" spans="1:7">
      <c r="A261" s="39" t="str">
        <f>IF(Summary!A262&lt;&gt;"",Summary!A262,"")</f>
        <v/>
      </c>
      <c r="B261" s="21" t="str">
        <f>IF(Summary!J262&lt;&gt;"",Summary!J262,"")</f>
        <v/>
      </c>
      <c r="C261" s="44" t="str">
        <f>IF(Summary!E262+Summary!H262&gt;0,Summary!E262+Summary!H262,"")</f>
        <v/>
      </c>
      <c r="D261" s="40" t="str">
        <f>IF(Summary!L262&lt;&gt;"",Summary!L262,"")</f>
        <v/>
      </c>
      <c r="E261" s="40" t="str">
        <f>IF(Summary!M262&lt;&gt;"",Summary!M262,"")</f>
        <v/>
      </c>
      <c r="F261" s="20" t="str">
        <f>IF(Summary!N262&lt;&gt;"",Summary!N262,"")</f>
        <v/>
      </c>
      <c r="G261" s="20" t="str">
        <f>IF(Summary!O262&lt;&gt;"",Summary!O262,"")</f>
        <v/>
      </c>
    </row>
    <row r="262" spans="1:7">
      <c r="A262" s="39" t="str">
        <f>IF(Summary!A263&lt;&gt;"",Summary!A263,"")</f>
        <v/>
      </c>
      <c r="B262" s="21" t="str">
        <f>IF(Summary!J263&lt;&gt;"",Summary!J263,"")</f>
        <v/>
      </c>
      <c r="C262" s="44" t="str">
        <f>IF(Summary!E263+Summary!H263&gt;0,Summary!E263+Summary!H263,"")</f>
        <v/>
      </c>
      <c r="D262" s="40" t="str">
        <f>IF(Summary!L263&lt;&gt;"",Summary!L263,"")</f>
        <v/>
      </c>
      <c r="E262" s="40" t="str">
        <f>IF(Summary!M263&lt;&gt;"",Summary!M263,"")</f>
        <v/>
      </c>
      <c r="F262" s="20" t="str">
        <f>IF(Summary!N263&lt;&gt;"",Summary!N263,"")</f>
        <v/>
      </c>
      <c r="G262" s="20" t="str">
        <f>IF(Summary!O263&lt;&gt;"",Summary!O263,"")</f>
        <v/>
      </c>
    </row>
    <row r="263" spans="1:7">
      <c r="A263" s="39" t="str">
        <f>IF(Summary!A264&lt;&gt;"",Summary!A264,"")</f>
        <v/>
      </c>
      <c r="B263" s="21" t="str">
        <f>IF(Summary!J264&lt;&gt;"",Summary!J264,"")</f>
        <v/>
      </c>
      <c r="C263" s="44" t="str">
        <f>IF(Summary!E264+Summary!H264&gt;0,Summary!E264+Summary!H264,"")</f>
        <v/>
      </c>
      <c r="D263" s="40" t="str">
        <f>IF(Summary!L264&lt;&gt;"",Summary!L264,"")</f>
        <v/>
      </c>
      <c r="E263" s="40" t="str">
        <f>IF(Summary!M264&lt;&gt;"",Summary!M264,"")</f>
        <v/>
      </c>
      <c r="F263" s="20" t="str">
        <f>IF(Summary!N264&lt;&gt;"",Summary!N264,"")</f>
        <v/>
      </c>
      <c r="G263" s="20" t="str">
        <f>IF(Summary!O264&lt;&gt;"",Summary!O264,"")</f>
        <v/>
      </c>
    </row>
    <row r="264" spans="1:7">
      <c r="A264" s="39" t="str">
        <f>IF(Summary!A265&lt;&gt;"",Summary!A265,"")</f>
        <v/>
      </c>
      <c r="B264" s="21" t="str">
        <f>IF(Summary!J265&lt;&gt;"",Summary!J265,"")</f>
        <v/>
      </c>
      <c r="C264" s="44" t="str">
        <f>IF(Summary!E265+Summary!H265&gt;0,Summary!E265+Summary!H265,"")</f>
        <v/>
      </c>
      <c r="D264" s="40" t="str">
        <f>IF(Summary!L265&lt;&gt;"",Summary!L265,"")</f>
        <v/>
      </c>
      <c r="E264" s="40" t="str">
        <f>IF(Summary!M265&lt;&gt;"",Summary!M265,"")</f>
        <v/>
      </c>
      <c r="F264" s="20" t="str">
        <f>IF(Summary!N265&lt;&gt;"",Summary!N265,"")</f>
        <v/>
      </c>
      <c r="G264" s="20" t="str">
        <f>IF(Summary!O265&lt;&gt;"",Summary!O265,"")</f>
        <v/>
      </c>
    </row>
    <row r="265" spans="1:7">
      <c r="A265" s="39" t="str">
        <f>IF(Summary!A266&lt;&gt;"",Summary!A266,"")</f>
        <v/>
      </c>
      <c r="B265" s="21" t="str">
        <f>IF(Summary!J266&lt;&gt;"",Summary!J266,"")</f>
        <v/>
      </c>
      <c r="C265" s="44" t="str">
        <f>IF(Summary!E266+Summary!H266&gt;0,Summary!E266+Summary!H266,"")</f>
        <v/>
      </c>
      <c r="D265" s="40" t="str">
        <f>IF(Summary!L266&lt;&gt;"",Summary!L266,"")</f>
        <v/>
      </c>
      <c r="E265" s="40" t="str">
        <f>IF(Summary!M266&lt;&gt;"",Summary!M266,"")</f>
        <v/>
      </c>
      <c r="F265" s="20" t="str">
        <f>IF(Summary!N266&lt;&gt;"",Summary!N266,"")</f>
        <v/>
      </c>
      <c r="G265" s="20" t="str">
        <f>IF(Summary!O266&lt;&gt;"",Summary!O266,"")</f>
        <v/>
      </c>
    </row>
    <row r="266" spans="1:7">
      <c r="A266" s="39" t="str">
        <f>IF(Summary!A267&lt;&gt;"",Summary!A267,"")</f>
        <v/>
      </c>
      <c r="B266" s="21" t="str">
        <f>IF(Summary!J267&lt;&gt;"",Summary!J267,"")</f>
        <v/>
      </c>
      <c r="C266" s="44" t="str">
        <f>IF(Summary!E267+Summary!H267&gt;0,Summary!E267+Summary!H267,"")</f>
        <v/>
      </c>
      <c r="D266" s="40" t="str">
        <f>IF(Summary!L267&lt;&gt;"",Summary!L267,"")</f>
        <v/>
      </c>
      <c r="E266" s="40" t="str">
        <f>IF(Summary!M267&lt;&gt;"",Summary!M267,"")</f>
        <v/>
      </c>
      <c r="F266" s="20" t="str">
        <f>IF(Summary!N267&lt;&gt;"",Summary!N267,"")</f>
        <v/>
      </c>
      <c r="G266" s="20" t="str">
        <f>IF(Summary!O267&lt;&gt;"",Summary!O267,"")</f>
        <v/>
      </c>
    </row>
    <row r="267" spans="1:7">
      <c r="A267" s="39" t="str">
        <f>IF(Summary!A268&lt;&gt;"",Summary!A268,"")</f>
        <v/>
      </c>
      <c r="B267" s="21" t="str">
        <f>IF(Summary!J268&lt;&gt;"",Summary!J268,"")</f>
        <v/>
      </c>
      <c r="C267" s="44" t="str">
        <f>IF(Summary!E268+Summary!H268&gt;0,Summary!E268+Summary!H268,"")</f>
        <v/>
      </c>
      <c r="D267" s="40" t="str">
        <f>IF(Summary!L268&lt;&gt;"",Summary!L268,"")</f>
        <v/>
      </c>
      <c r="E267" s="40" t="str">
        <f>IF(Summary!M268&lt;&gt;"",Summary!M268,"")</f>
        <v/>
      </c>
      <c r="F267" s="20" t="str">
        <f>IF(Summary!N268&lt;&gt;"",Summary!N268,"")</f>
        <v/>
      </c>
      <c r="G267" s="20" t="str">
        <f>IF(Summary!O268&lt;&gt;"",Summary!O268,"")</f>
        <v/>
      </c>
    </row>
    <row r="268" spans="1:7">
      <c r="A268" s="39" t="str">
        <f>IF(Summary!A269&lt;&gt;"",Summary!A269,"")</f>
        <v/>
      </c>
      <c r="B268" s="21" t="str">
        <f>IF(Summary!J269&lt;&gt;"",Summary!J269,"")</f>
        <v/>
      </c>
      <c r="C268" s="44" t="str">
        <f>IF(Summary!E269+Summary!H269&gt;0,Summary!E269+Summary!H269,"")</f>
        <v/>
      </c>
      <c r="D268" s="40" t="str">
        <f>IF(Summary!L269&lt;&gt;"",Summary!L269,"")</f>
        <v/>
      </c>
      <c r="E268" s="40" t="str">
        <f>IF(Summary!M269&lt;&gt;"",Summary!M269,"")</f>
        <v/>
      </c>
      <c r="F268" s="20" t="str">
        <f>IF(Summary!N269&lt;&gt;"",Summary!N269,"")</f>
        <v/>
      </c>
      <c r="G268" s="20" t="str">
        <f>IF(Summary!O269&lt;&gt;"",Summary!O269,"")</f>
        <v/>
      </c>
    </row>
    <row r="269" spans="1:7">
      <c r="A269" s="39" t="str">
        <f>IF(Summary!A270&lt;&gt;"",Summary!A270,"")</f>
        <v/>
      </c>
      <c r="B269" s="21" t="str">
        <f>IF(Summary!J270&lt;&gt;"",Summary!J270,"")</f>
        <v/>
      </c>
      <c r="C269" s="44" t="str">
        <f>IF(Summary!E270+Summary!H270&gt;0,Summary!E270+Summary!H270,"")</f>
        <v/>
      </c>
      <c r="D269" s="40" t="str">
        <f>IF(Summary!L270&lt;&gt;"",Summary!L270,"")</f>
        <v/>
      </c>
      <c r="E269" s="40" t="str">
        <f>IF(Summary!M270&lt;&gt;"",Summary!M270,"")</f>
        <v/>
      </c>
      <c r="F269" s="20" t="str">
        <f>IF(Summary!N270&lt;&gt;"",Summary!N270,"")</f>
        <v/>
      </c>
      <c r="G269" s="20" t="str">
        <f>IF(Summary!O270&lt;&gt;"",Summary!O270,"")</f>
        <v/>
      </c>
    </row>
    <row r="270" spans="1:7">
      <c r="A270" s="39" t="str">
        <f>IF(Summary!A271&lt;&gt;"",Summary!A271,"")</f>
        <v/>
      </c>
      <c r="B270" s="21" t="str">
        <f>IF(Summary!J271&lt;&gt;"",Summary!J271,"")</f>
        <v/>
      </c>
      <c r="C270" s="44" t="str">
        <f>IF(Summary!E271+Summary!H271&gt;0,Summary!E271+Summary!H271,"")</f>
        <v/>
      </c>
      <c r="D270" s="40" t="str">
        <f>IF(Summary!L271&lt;&gt;"",Summary!L271,"")</f>
        <v/>
      </c>
      <c r="E270" s="40" t="str">
        <f>IF(Summary!M271&lt;&gt;"",Summary!M271,"")</f>
        <v/>
      </c>
      <c r="F270" s="20" t="str">
        <f>IF(Summary!N271&lt;&gt;"",Summary!N271,"")</f>
        <v/>
      </c>
      <c r="G270" s="20" t="str">
        <f>IF(Summary!O271&lt;&gt;"",Summary!O271,"")</f>
        <v/>
      </c>
    </row>
    <row r="271" spans="1:7">
      <c r="A271" s="39" t="str">
        <f>IF(Summary!A272&lt;&gt;"",Summary!A272,"")</f>
        <v/>
      </c>
      <c r="B271" s="21" t="str">
        <f>IF(Summary!J272&lt;&gt;"",Summary!J272,"")</f>
        <v/>
      </c>
      <c r="C271" s="44" t="str">
        <f>IF(Summary!E272+Summary!H272&gt;0,Summary!E272+Summary!H272,"")</f>
        <v/>
      </c>
      <c r="D271" s="40" t="str">
        <f>IF(Summary!L272&lt;&gt;"",Summary!L272,"")</f>
        <v/>
      </c>
      <c r="E271" s="40" t="str">
        <f>IF(Summary!M272&lt;&gt;"",Summary!M272,"")</f>
        <v/>
      </c>
      <c r="F271" s="20" t="str">
        <f>IF(Summary!N272&lt;&gt;"",Summary!N272,"")</f>
        <v/>
      </c>
      <c r="G271" s="20" t="str">
        <f>IF(Summary!O272&lt;&gt;"",Summary!O272,"")</f>
        <v/>
      </c>
    </row>
    <row r="272" spans="1:7">
      <c r="A272" s="39" t="str">
        <f>IF(Summary!A273&lt;&gt;"",Summary!A273,"")</f>
        <v/>
      </c>
      <c r="B272" s="21" t="str">
        <f>IF(Summary!J273&lt;&gt;"",Summary!J273,"")</f>
        <v/>
      </c>
      <c r="C272" s="44" t="str">
        <f>IF(Summary!E273+Summary!H273&gt;0,Summary!E273+Summary!H273,"")</f>
        <v/>
      </c>
      <c r="D272" s="40" t="str">
        <f>IF(Summary!L273&lt;&gt;"",Summary!L273,"")</f>
        <v/>
      </c>
      <c r="E272" s="40" t="str">
        <f>IF(Summary!M273&lt;&gt;"",Summary!M273,"")</f>
        <v/>
      </c>
      <c r="F272" s="20" t="str">
        <f>IF(Summary!N273&lt;&gt;"",Summary!N273,"")</f>
        <v/>
      </c>
      <c r="G272" s="20" t="str">
        <f>IF(Summary!O273&lt;&gt;"",Summary!O273,"")</f>
        <v/>
      </c>
    </row>
    <row r="273" spans="1:7">
      <c r="A273" s="39" t="str">
        <f>IF(Summary!A274&lt;&gt;"",Summary!A274,"")</f>
        <v/>
      </c>
      <c r="B273" s="21" t="str">
        <f>IF(Summary!J274&lt;&gt;"",Summary!J274,"")</f>
        <v/>
      </c>
      <c r="C273" s="44" t="str">
        <f>IF(Summary!E274+Summary!H274&gt;0,Summary!E274+Summary!H274,"")</f>
        <v/>
      </c>
      <c r="D273" s="40" t="str">
        <f>IF(Summary!L274&lt;&gt;"",Summary!L274,"")</f>
        <v/>
      </c>
      <c r="E273" s="40" t="str">
        <f>IF(Summary!M274&lt;&gt;"",Summary!M274,"")</f>
        <v/>
      </c>
      <c r="F273" s="20" t="str">
        <f>IF(Summary!N274&lt;&gt;"",Summary!N274,"")</f>
        <v/>
      </c>
      <c r="G273" s="20" t="str">
        <f>IF(Summary!O274&lt;&gt;"",Summary!O274,"")</f>
        <v/>
      </c>
    </row>
    <row r="274" spans="1:7">
      <c r="A274" s="39" t="str">
        <f>IF(Summary!A275&lt;&gt;"",Summary!A275,"")</f>
        <v/>
      </c>
      <c r="B274" s="21" t="str">
        <f>IF(Summary!J275&lt;&gt;"",Summary!J275,"")</f>
        <v/>
      </c>
      <c r="C274" s="44" t="str">
        <f>IF(Summary!E275+Summary!H275&gt;0,Summary!E275+Summary!H275,"")</f>
        <v/>
      </c>
      <c r="D274" s="40" t="str">
        <f>IF(Summary!L275&lt;&gt;"",Summary!L275,"")</f>
        <v/>
      </c>
      <c r="E274" s="40" t="str">
        <f>IF(Summary!M275&lt;&gt;"",Summary!M275,"")</f>
        <v/>
      </c>
      <c r="F274" s="20" t="str">
        <f>IF(Summary!N275&lt;&gt;"",Summary!N275,"")</f>
        <v/>
      </c>
      <c r="G274" s="20" t="str">
        <f>IF(Summary!O275&lt;&gt;"",Summary!O275,"")</f>
        <v/>
      </c>
    </row>
    <row r="275" spans="1:7">
      <c r="A275" s="39" t="str">
        <f>IF(Summary!A276&lt;&gt;"",Summary!A276,"")</f>
        <v/>
      </c>
      <c r="B275" s="21" t="str">
        <f>IF(Summary!J276&lt;&gt;"",Summary!J276,"")</f>
        <v/>
      </c>
      <c r="C275" s="44" t="str">
        <f>IF(Summary!E276+Summary!H276&gt;0,Summary!E276+Summary!H276,"")</f>
        <v/>
      </c>
      <c r="D275" s="40" t="str">
        <f>IF(Summary!L276&lt;&gt;"",Summary!L276,"")</f>
        <v/>
      </c>
      <c r="E275" s="40" t="str">
        <f>IF(Summary!M276&lt;&gt;"",Summary!M276,"")</f>
        <v/>
      </c>
      <c r="F275" s="20" t="str">
        <f>IF(Summary!N276&lt;&gt;"",Summary!N276,"")</f>
        <v/>
      </c>
      <c r="G275" s="20" t="str">
        <f>IF(Summary!O276&lt;&gt;"",Summary!O276,"")</f>
        <v/>
      </c>
    </row>
    <row r="276" spans="1:7">
      <c r="A276" s="39" t="str">
        <f>IF(Summary!A277&lt;&gt;"",Summary!A277,"")</f>
        <v/>
      </c>
      <c r="B276" s="21" t="str">
        <f>IF(Summary!J277&lt;&gt;"",Summary!J277,"")</f>
        <v/>
      </c>
      <c r="C276" s="44" t="str">
        <f>IF(Summary!E277+Summary!H277&gt;0,Summary!E277+Summary!H277,"")</f>
        <v/>
      </c>
      <c r="D276" s="40" t="str">
        <f>IF(Summary!L277&lt;&gt;"",Summary!L277,"")</f>
        <v/>
      </c>
      <c r="E276" s="40" t="str">
        <f>IF(Summary!M277&lt;&gt;"",Summary!M277,"")</f>
        <v/>
      </c>
      <c r="F276" s="20" t="str">
        <f>IF(Summary!N277&lt;&gt;"",Summary!N277,"")</f>
        <v/>
      </c>
      <c r="G276" s="20" t="str">
        <f>IF(Summary!O277&lt;&gt;"",Summary!O277,"")</f>
        <v/>
      </c>
    </row>
    <row r="277" spans="1:7">
      <c r="A277" s="39" t="str">
        <f>IF(Summary!A278&lt;&gt;"",Summary!A278,"")</f>
        <v/>
      </c>
      <c r="B277" s="21" t="str">
        <f>IF(Summary!J278&lt;&gt;"",Summary!J278,"")</f>
        <v/>
      </c>
      <c r="C277" s="44" t="str">
        <f>IF(Summary!E278+Summary!H278&gt;0,Summary!E278+Summary!H278,"")</f>
        <v/>
      </c>
      <c r="D277" s="40" t="str">
        <f>IF(Summary!L278&lt;&gt;"",Summary!L278,"")</f>
        <v/>
      </c>
      <c r="E277" s="40" t="str">
        <f>IF(Summary!M278&lt;&gt;"",Summary!M278,"")</f>
        <v/>
      </c>
      <c r="F277" s="20" t="str">
        <f>IF(Summary!N278&lt;&gt;"",Summary!N278,"")</f>
        <v/>
      </c>
      <c r="G277" s="20" t="str">
        <f>IF(Summary!O278&lt;&gt;"",Summary!O278,"")</f>
        <v/>
      </c>
    </row>
    <row r="278" spans="1:7">
      <c r="A278" s="39" t="str">
        <f>IF(Summary!A279&lt;&gt;"",Summary!A279,"")</f>
        <v/>
      </c>
      <c r="B278" s="21" t="str">
        <f>IF(Summary!J279&lt;&gt;"",Summary!J279,"")</f>
        <v/>
      </c>
      <c r="C278" s="44" t="str">
        <f>IF(Summary!E279+Summary!H279&gt;0,Summary!E279+Summary!H279,"")</f>
        <v/>
      </c>
      <c r="D278" s="40" t="str">
        <f>IF(Summary!L279&lt;&gt;"",Summary!L279,"")</f>
        <v/>
      </c>
      <c r="E278" s="40" t="str">
        <f>IF(Summary!M279&lt;&gt;"",Summary!M279,"")</f>
        <v/>
      </c>
      <c r="F278" s="20" t="str">
        <f>IF(Summary!N279&lt;&gt;"",Summary!N279,"")</f>
        <v/>
      </c>
      <c r="G278" s="20" t="str">
        <f>IF(Summary!O279&lt;&gt;"",Summary!O279,"")</f>
        <v/>
      </c>
    </row>
    <row r="279" spans="1:7">
      <c r="A279" s="39" t="str">
        <f>IF(Summary!A280&lt;&gt;"",Summary!A280,"")</f>
        <v/>
      </c>
      <c r="B279" s="21" t="str">
        <f>IF(Summary!J280&lt;&gt;"",Summary!J280,"")</f>
        <v/>
      </c>
      <c r="C279" s="44" t="str">
        <f>IF(Summary!E280+Summary!H280&gt;0,Summary!E280+Summary!H280,"")</f>
        <v/>
      </c>
      <c r="D279" s="40" t="str">
        <f>IF(Summary!L280&lt;&gt;"",Summary!L280,"")</f>
        <v/>
      </c>
      <c r="E279" s="40" t="str">
        <f>IF(Summary!M280&lt;&gt;"",Summary!M280,"")</f>
        <v/>
      </c>
      <c r="F279" s="20" t="str">
        <f>IF(Summary!N280&lt;&gt;"",Summary!N280,"")</f>
        <v/>
      </c>
      <c r="G279" s="20" t="str">
        <f>IF(Summary!O280&lt;&gt;"",Summary!O280,"")</f>
        <v/>
      </c>
    </row>
    <row r="280" spans="1:7">
      <c r="A280" s="39" t="str">
        <f>IF(Summary!A281&lt;&gt;"",Summary!A281,"")</f>
        <v/>
      </c>
      <c r="B280" s="21" t="str">
        <f>IF(Summary!J281&lt;&gt;"",Summary!J281,"")</f>
        <v/>
      </c>
      <c r="C280" s="44" t="str">
        <f>IF(Summary!E281+Summary!H281&gt;0,Summary!E281+Summary!H281,"")</f>
        <v/>
      </c>
      <c r="D280" s="40" t="str">
        <f>IF(Summary!L281&lt;&gt;"",Summary!L281,"")</f>
        <v/>
      </c>
      <c r="E280" s="40" t="str">
        <f>IF(Summary!M281&lt;&gt;"",Summary!M281,"")</f>
        <v/>
      </c>
      <c r="F280" s="20" t="str">
        <f>IF(Summary!N281&lt;&gt;"",Summary!N281,"")</f>
        <v/>
      </c>
      <c r="G280" s="20" t="str">
        <f>IF(Summary!O281&lt;&gt;"",Summary!O281,"")</f>
        <v/>
      </c>
    </row>
    <row r="281" spans="1:7">
      <c r="A281" s="39" t="str">
        <f>IF(Summary!A282&lt;&gt;"",Summary!A282,"")</f>
        <v/>
      </c>
      <c r="B281" s="21" t="str">
        <f>IF(Summary!J282&lt;&gt;"",Summary!J282,"")</f>
        <v/>
      </c>
      <c r="C281" s="44" t="str">
        <f>IF(Summary!E282+Summary!H282&gt;0,Summary!E282+Summary!H282,"")</f>
        <v/>
      </c>
      <c r="D281" s="40" t="str">
        <f>IF(Summary!L282&lt;&gt;"",Summary!L282,"")</f>
        <v/>
      </c>
      <c r="E281" s="40" t="str">
        <f>IF(Summary!M282&lt;&gt;"",Summary!M282,"")</f>
        <v/>
      </c>
      <c r="F281" s="20" t="str">
        <f>IF(Summary!N282&lt;&gt;"",Summary!N282,"")</f>
        <v/>
      </c>
      <c r="G281" s="20" t="str">
        <f>IF(Summary!O282&lt;&gt;"",Summary!O282,"")</f>
        <v/>
      </c>
    </row>
    <row r="282" spans="1:7">
      <c r="A282" s="39" t="str">
        <f>IF(Summary!A283&lt;&gt;"",Summary!A283,"")</f>
        <v/>
      </c>
      <c r="B282" s="21" t="str">
        <f>IF(Summary!J283&lt;&gt;"",Summary!J283,"")</f>
        <v/>
      </c>
      <c r="C282" s="44" t="str">
        <f>IF(Summary!E283+Summary!H283&gt;0,Summary!E283+Summary!H283,"")</f>
        <v/>
      </c>
      <c r="D282" s="40" t="str">
        <f>IF(Summary!L283&lt;&gt;"",Summary!L283,"")</f>
        <v/>
      </c>
      <c r="E282" s="40" t="str">
        <f>IF(Summary!M283&lt;&gt;"",Summary!M283,"")</f>
        <v/>
      </c>
      <c r="F282" s="20" t="str">
        <f>IF(Summary!N283&lt;&gt;"",Summary!N283,"")</f>
        <v/>
      </c>
      <c r="G282" s="20" t="str">
        <f>IF(Summary!O283&lt;&gt;"",Summary!O283,"")</f>
        <v/>
      </c>
    </row>
    <row r="283" spans="1:7">
      <c r="A283" s="39" t="str">
        <f>IF(Summary!A284&lt;&gt;"",Summary!A284,"")</f>
        <v/>
      </c>
      <c r="B283" s="21" t="str">
        <f>IF(Summary!J284&lt;&gt;"",Summary!J284,"")</f>
        <v/>
      </c>
      <c r="C283" s="44" t="str">
        <f>IF(Summary!E284+Summary!H284&gt;0,Summary!E284+Summary!H284,"")</f>
        <v/>
      </c>
      <c r="D283" s="40" t="str">
        <f>IF(Summary!L284&lt;&gt;"",Summary!L284,"")</f>
        <v/>
      </c>
      <c r="E283" s="40" t="str">
        <f>IF(Summary!M284&lt;&gt;"",Summary!M284,"")</f>
        <v/>
      </c>
      <c r="F283" s="20" t="str">
        <f>IF(Summary!N284&lt;&gt;"",Summary!N284,"")</f>
        <v/>
      </c>
      <c r="G283" s="20" t="str">
        <f>IF(Summary!O284&lt;&gt;"",Summary!O284,"")</f>
        <v/>
      </c>
    </row>
    <row r="284" spans="1:7">
      <c r="A284" s="39" t="str">
        <f>IF(Summary!A285&lt;&gt;"",Summary!A285,"")</f>
        <v/>
      </c>
      <c r="B284" s="21" t="str">
        <f>IF(Summary!J285&lt;&gt;"",Summary!J285,"")</f>
        <v/>
      </c>
      <c r="C284" s="44" t="str">
        <f>IF(Summary!E285+Summary!H285&gt;0,Summary!E285+Summary!H285,"")</f>
        <v/>
      </c>
      <c r="D284" s="40" t="str">
        <f>IF(Summary!L285&lt;&gt;"",Summary!L285,"")</f>
        <v/>
      </c>
      <c r="E284" s="40" t="str">
        <f>IF(Summary!M285&lt;&gt;"",Summary!M285,"")</f>
        <v/>
      </c>
      <c r="F284" s="20" t="str">
        <f>IF(Summary!N285&lt;&gt;"",Summary!N285,"")</f>
        <v/>
      </c>
      <c r="G284" s="20" t="str">
        <f>IF(Summary!O285&lt;&gt;"",Summary!O285,"")</f>
        <v/>
      </c>
    </row>
    <row r="285" spans="1:7">
      <c r="A285" s="39" t="str">
        <f>IF(Summary!A286&lt;&gt;"",Summary!A286,"")</f>
        <v/>
      </c>
      <c r="B285" s="21" t="str">
        <f>IF(Summary!J286&lt;&gt;"",Summary!J286,"")</f>
        <v/>
      </c>
      <c r="C285" s="44" t="str">
        <f>IF(Summary!E286+Summary!H286&gt;0,Summary!E286+Summary!H286,"")</f>
        <v/>
      </c>
      <c r="D285" s="40" t="str">
        <f>IF(Summary!L286&lt;&gt;"",Summary!L286,"")</f>
        <v/>
      </c>
      <c r="E285" s="40" t="str">
        <f>IF(Summary!M286&lt;&gt;"",Summary!M286,"")</f>
        <v/>
      </c>
      <c r="F285" s="20" t="str">
        <f>IF(Summary!N286&lt;&gt;"",Summary!N286,"")</f>
        <v/>
      </c>
      <c r="G285" s="20" t="str">
        <f>IF(Summary!O286&lt;&gt;"",Summary!O286,"")</f>
        <v/>
      </c>
    </row>
    <row r="286" spans="1:7">
      <c r="A286" s="39" t="str">
        <f>IF(Summary!A287&lt;&gt;"",Summary!A287,"")</f>
        <v/>
      </c>
      <c r="B286" s="21" t="str">
        <f>IF(Summary!J287&lt;&gt;"",Summary!J287,"")</f>
        <v/>
      </c>
      <c r="C286" s="44" t="str">
        <f>IF(Summary!E287+Summary!H287&gt;0,Summary!E287+Summary!H287,"")</f>
        <v/>
      </c>
      <c r="D286" s="40" t="str">
        <f>IF(Summary!L287&lt;&gt;"",Summary!L287,"")</f>
        <v/>
      </c>
      <c r="E286" s="40" t="str">
        <f>IF(Summary!M287&lt;&gt;"",Summary!M287,"")</f>
        <v/>
      </c>
      <c r="F286" s="20" t="str">
        <f>IF(Summary!N287&lt;&gt;"",Summary!N287,"")</f>
        <v/>
      </c>
      <c r="G286" s="20" t="str">
        <f>IF(Summary!O287&lt;&gt;"",Summary!O287,"")</f>
        <v/>
      </c>
    </row>
    <row r="287" spans="1:7">
      <c r="A287" s="39" t="str">
        <f>IF(Summary!A288&lt;&gt;"",Summary!A288,"")</f>
        <v/>
      </c>
      <c r="B287" s="21" t="str">
        <f>IF(Summary!J288&lt;&gt;"",Summary!J288,"")</f>
        <v/>
      </c>
      <c r="C287" s="44" t="str">
        <f>IF(Summary!E288+Summary!H288&gt;0,Summary!E288+Summary!H288,"")</f>
        <v/>
      </c>
      <c r="D287" s="40" t="str">
        <f>IF(Summary!L288&lt;&gt;"",Summary!L288,"")</f>
        <v/>
      </c>
      <c r="E287" s="40" t="str">
        <f>IF(Summary!M288&lt;&gt;"",Summary!M288,"")</f>
        <v/>
      </c>
      <c r="F287" s="20" t="str">
        <f>IF(Summary!N288&lt;&gt;"",Summary!N288,"")</f>
        <v/>
      </c>
      <c r="G287" s="20" t="str">
        <f>IF(Summary!O288&lt;&gt;"",Summary!O288,"")</f>
        <v/>
      </c>
    </row>
    <row r="288" spans="1:7">
      <c r="A288" s="39" t="str">
        <f>IF(Summary!A289&lt;&gt;"",Summary!A289,"")</f>
        <v/>
      </c>
      <c r="B288" s="21" t="str">
        <f>IF(Summary!J289&lt;&gt;"",Summary!J289,"")</f>
        <v/>
      </c>
      <c r="C288" s="44" t="str">
        <f>IF(Summary!E289+Summary!H289&gt;0,Summary!E289+Summary!H289,"")</f>
        <v/>
      </c>
      <c r="D288" s="40" t="str">
        <f>IF(Summary!L289&lt;&gt;"",Summary!L289,"")</f>
        <v/>
      </c>
      <c r="E288" s="40" t="str">
        <f>IF(Summary!M289&lt;&gt;"",Summary!M289,"")</f>
        <v/>
      </c>
      <c r="F288" s="20" t="str">
        <f>IF(Summary!N289&lt;&gt;"",Summary!N289,"")</f>
        <v/>
      </c>
      <c r="G288" s="20" t="str">
        <f>IF(Summary!O289&lt;&gt;"",Summary!O289,"")</f>
        <v/>
      </c>
    </row>
    <row r="289" spans="1:7">
      <c r="A289" s="39" t="str">
        <f>IF(Summary!A290&lt;&gt;"",Summary!A290,"")</f>
        <v/>
      </c>
      <c r="B289" s="21" t="str">
        <f>IF(Summary!J290&lt;&gt;"",Summary!J290,"")</f>
        <v/>
      </c>
      <c r="C289" s="44" t="str">
        <f>IF(Summary!E290+Summary!H290&gt;0,Summary!E290+Summary!H290,"")</f>
        <v/>
      </c>
      <c r="D289" s="40" t="str">
        <f>IF(Summary!L290&lt;&gt;"",Summary!L290,"")</f>
        <v/>
      </c>
      <c r="E289" s="40" t="str">
        <f>IF(Summary!M290&lt;&gt;"",Summary!M290,"")</f>
        <v/>
      </c>
      <c r="F289" s="20" t="str">
        <f>IF(Summary!N290&lt;&gt;"",Summary!N290,"")</f>
        <v/>
      </c>
      <c r="G289" s="20" t="str">
        <f>IF(Summary!O290&lt;&gt;"",Summary!O290,"")</f>
        <v/>
      </c>
    </row>
    <row r="290" spans="1:7">
      <c r="A290" s="39" t="str">
        <f>IF(Summary!A291&lt;&gt;"",Summary!A291,"")</f>
        <v/>
      </c>
      <c r="B290" s="21" t="str">
        <f>IF(Summary!J291&lt;&gt;"",Summary!J291,"")</f>
        <v/>
      </c>
      <c r="C290" s="44" t="str">
        <f>IF(Summary!E291+Summary!H291&gt;0,Summary!E291+Summary!H291,"")</f>
        <v/>
      </c>
      <c r="D290" s="40" t="str">
        <f>IF(Summary!L291&lt;&gt;"",Summary!L291,"")</f>
        <v/>
      </c>
      <c r="E290" s="40" t="str">
        <f>IF(Summary!M291&lt;&gt;"",Summary!M291,"")</f>
        <v/>
      </c>
      <c r="F290" s="20" t="str">
        <f>IF(Summary!N291&lt;&gt;"",Summary!N291,"")</f>
        <v/>
      </c>
      <c r="G290" s="20" t="str">
        <f>IF(Summary!O291&lt;&gt;"",Summary!O291,"")</f>
        <v/>
      </c>
    </row>
    <row r="291" spans="1:7">
      <c r="A291" s="39" t="str">
        <f>IF(Summary!A292&lt;&gt;"",Summary!A292,"")</f>
        <v/>
      </c>
      <c r="B291" s="21" t="str">
        <f>IF(Summary!J292&lt;&gt;"",Summary!J292,"")</f>
        <v/>
      </c>
      <c r="C291" s="44" t="str">
        <f>IF(Summary!E292+Summary!H292&gt;0,Summary!E292+Summary!H292,"")</f>
        <v/>
      </c>
      <c r="D291" s="40" t="str">
        <f>IF(Summary!L292&lt;&gt;"",Summary!L292,"")</f>
        <v/>
      </c>
      <c r="E291" s="40" t="str">
        <f>IF(Summary!M292&lt;&gt;"",Summary!M292,"")</f>
        <v/>
      </c>
      <c r="F291" s="20" t="str">
        <f>IF(Summary!N292&lt;&gt;"",Summary!N292,"")</f>
        <v/>
      </c>
      <c r="G291" s="20" t="str">
        <f>IF(Summary!O292&lt;&gt;"",Summary!O292,"")</f>
        <v/>
      </c>
    </row>
    <row r="292" spans="1:7">
      <c r="A292" s="39" t="str">
        <f>IF(Summary!A293&lt;&gt;"",Summary!A293,"")</f>
        <v/>
      </c>
      <c r="B292" s="21" t="str">
        <f>IF(Summary!J293&lt;&gt;"",Summary!J293,"")</f>
        <v/>
      </c>
      <c r="C292" s="44" t="str">
        <f>IF(Summary!E293+Summary!H293&gt;0,Summary!E293+Summary!H293,"")</f>
        <v/>
      </c>
      <c r="D292" s="40" t="str">
        <f>IF(Summary!L293&lt;&gt;"",Summary!L293,"")</f>
        <v/>
      </c>
      <c r="E292" s="40" t="str">
        <f>IF(Summary!M293&lt;&gt;"",Summary!M293,"")</f>
        <v/>
      </c>
      <c r="F292" s="20" t="str">
        <f>IF(Summary!N293&lt;&gt;"",Summary!N293,"")</f>
        <v/>
      </c>
      <c r="G292" s="20" t="str">
        <f>IF(Summary!O293&lt;&gt;"",Summary!O293,"")</f>
        <v/>
      </c>
    </row>
    <row r="293" spans="1:7">
      <c r="A293" s="39" t="str">
        <f>IF(Summary!A294&lt;&gt;"",Summary!A294,"")</f>
        <v/>
      </c>
      <c r="B293" s="21" t="str">
        <f>IF(Summary!J294&lt;&gt;"",Summary!J294,"")</f>
        <v/>
      </c>
      <c r="C293" s="44" t="str">
        <f>IF(Summary!E294+Summary!H294&gt;0,Summary!E294+Summary!H294,"")</f>
        <v/>
      </c>
      <c r="D293" s="40" t="str">
        <f>IF(Summary!L294&lt;&gt;"",Summary!L294,"")</f>
        <v/>
      </c>
      <c r="E293" s="40" t="str">
        <f>IF(Summary!M294&lt;&gt;"",Summary!M294,"")</f>
        <v/>
      </c>
      <c r="F293" s="20" t="str">
        <f>IF(Summary!N294&lt;&gt;"",Summary!N294,"")</f>
        <v/>
      </c>
      <c r="G293" s="20" t="str">
        <f>IF(Summary!O294&lt;&gt;"",Summary!O294,"")</f>
        <v/>
      </c>
    </row>
    <row r="294" spans="1:7">
      <c r="A294" s="39" t="str">
        <f>IF(Summary!A295&lt;&gt;"",Summary!A295,"")</f>
        <v/>
      </c>
      <c r="B294" s="21" t="str">
        <f>IF(Summary!J295&lt;&gt;"",Summary!J295,"")</f>
        <v/>
      </c>
      <c r="C294" s="44" t="str">
        <f>IF(Summary!E295+Summary!H295&gt;0,Summary!E295+Summary!H295,"")</f>
        <v/>
      </c>
      <c r="D294" s="40" t="str">
        <f>IF(Summary!L295&lt;&gt;"",Summary!L295,"")</f>
        <v/>
      </c>
      <c r="E294" s="40" t="str">
        <f>IF(Summary!M295&lt;&gt;"",Summary!M295,"")</f>
        <v/>
      </c>
      <c r="F294" s="20" t="str">
        <f>IF(Summary!N295&lt;&gt;"",Summary!N295,"")</f>
        <v/>
      </c>
      <c r="G294" s="20" t="str">
        <f>IF(Summary!O295&lt;&gt;"",Summary!O295,"")</f>
        <v/>
      </c>
    </row>
    <row r="295" spans="1:7">
      <c r="A295" s="39" t="str">
        <f>IF(Summary!A296&lt;&gt;"",Summary!A296,"")</f>
        <v/>
      </c>
      <c r="B295" s="21" t="str">
        <f>IF(Summary!J296&lt;&gt;"",Summary!J296,"")</f>
        <v/>
      </c>
      <c r="C295" s="44" t="str">
        <f>IF(Summary!E296+Summary!H296&gt;0,Summary!E296+Summary!H296,"")</f>
        <v/>
      </c>
      <c r="D295" s="40" t="str">
        <f>IF(Summary!L296&lt;&gt;"",Summary!L296,"")</f>
        <v/>
      </c>
      <c r="E295" s="40" t="str">
        <f>IF(Summary!M296&lt;&gt;"",Summary!M296,"")</f>
        <v/>
      </c>
      <c r="F295" s="20" t="str">
        <f>IF(Summary!N296&lt;&gt;"",Summary!N296,"")</f>
        <v/>
      </c>
      <c r="G295" s="20" t="str">
        <f>IF(Summary!O296&lt;&gt;"",Summary!O296,"")</f>
        <v/>
      </c>
    </row>
    <row r="296" spans="1:7">
      <c r="A296" s="39" t="str">
        <f>IF(Summary!A297&lt;&gt;"",Summary!A297,"")</f>
        <v/>
      </c>
      <c r="B296" s="21" t="str">
        <f>IF(Summary!J297&lt;&gt;"",Summary!J297,"")</f>
        <v/>
      </c>
      <c r="C296" s="44" t="str">
        <f>IF(Summary!E297+Summary!H297&gt;0,Summary!E297+Summary!H297,"")</f>
        <v/>
      </c>
      <c r="D296" s="40" t="str">
        <f>IF(Summary!L297&lt;&gt;"",Summary!L297,"")</f>
        <v/>
      </c>
      <c r="E296" s="40" t="str">
        <f>IF(Summary!M297&lt;&gt;"",Summary!M297,"")</f>
        <v/>
      </c>
      <c r="F296" s="20" t="str">
        <f>IF(Summary!N297&lt;&gt;"",Summary!N297,"")</f>
        <v/>
      </c>
      <c r="G296" s="20" t="str">
        <f>IF(Summary!O297&lt;&gt;"",Summary!O297,"")</f>
        <v/>
      </c>
    </row>
    <row r="297" spans="1:7">
      <c r="A297" s="39" t="str">
        <f>IF(Summary!A298&lt;&gt;"",Summary!A298,"")</f>
        <v/>
      </c>
      <c r="B297" s="21" t="str">
        <f>IF(Summary!J298&lt;&gt;"",Summary!J298,"")</f>
        <v/>
      </c>
      <c r="C297" s="44" t="str">
        <f>IF(Summary!E298+Summary!H298&gt;0,Summary!E298+Summary!H298,"")</f>
        <v/>
      </c>
      <c r="D297" s="40" t="str">
        <f>IF(Summary!L298&lt;&gt;"",Summary!L298,"")</f>
        <v/>
      </c>
      <c r="E297" s="40" t="str">
        <f>IF(Summary!M298&lt;&gt;"",Summary!M298,"")</f>
        <v/>
      </c>
      <c r="F297" s="20" t="str">
        <f>IF(Summary!N298&lt;&gt;"",Summary!N298,"")</f>
        <v/>
      </c>
      <c r="G297" s="20" t="str">
        <f>IF(Summary!O298&lt;&gt;"",Summary!O298,"")</f>
        <v/>
      </c>
    </row>
    <row r="298" spans="1:7">
      <c r="A298" s="39" t="str">
        <f>IF(Summary!A299&lt;&gt;"",Summary!A299,"")</f>
        <v/>
      </c>
      <c r="B298" s="21" t="str">
        <f>IF(Summary!J299&lt;&gt;"",Summary!J299,"")</f>
        <v/>
      </c>
      <c r="C298" s="44" t="str">
        <f>IF(Summary!E299+Summary!H299&gt;0,Summary!E299+Summary!H299,"")</f>
        <v/>
      </c>
      <c r="D298" s="40" t="str">
        <f>IF(Summary!L299&lt;&gt;"",Summary!L299,"")</f>
        <v/>
      </c>
      <c r="E298" s="40" t="str">
        <f>IF(Summary!M299&lt;&gt;"",Summary!M299,"")</f>
        <v/>
      </c>
      <c r="F298" s="20" t="str">
        <f>IF(Summary!N299&lt;&gt;"",Summary!N299,"")</f>
        <v/>
      </c>
      <c r="G298" s="20" t="str">
        <f>IF(Summary!O299&lt;&gt;"",Summary!O299,"")</f>
        <v/>
      </c>
    </row>
    <row r="299" spans="1:7">
      <c r="A299" s="39" t="str">
        <f>IF(Summary!A300&lt;&gt;"",Summary!A300,"")</f>
        <v/>
      </c>
      <c r="B299" s="21" t="str">
        <f>IF(Summary!J300&lt;&gt;"",Summary!J300,"")</f>
        <v/>
      </c>
      <c r="C299" s="44" t="str">
        <f>IF(Summary!E300+Summary!H300&gt;0,Summary!E300+Summary!H300,"")</f>
        <v/>
      </c>
      <c r="D299" s="40" t="str">
        <f>IF(Summary!L300&lt;&gt;"",Summary!L300,"")</f>
        <v/>
      </c>
      <c r="E299" s="40" t="str">
        <f>IF(Summary!M300&lt;&gt;"",Summary!M300,"")</f>
        <v/>
      </c>
      <c r="F299" s="20" t="str">
        <f>IF(Summary!N300&lt;&gt;"",Summary!N300,"")</f>
        <v/>
      </c>
      <c r="G299" s="20" t="str">
        <f>IF(Summary!O300&lt;&gt;"",Summary!O300,"")</f>
        <v/>
      </c>
    </row>
    <row r="300" spans="1:7">
      <c r="A300" s="39" t="str">
        <f>IF(Summary!A301&lt;&gt;"",Summary!A301,"")</f>
        <v/>
      </c>
      <c r="B300" s="21" t="str">
        <f>IF(Summary!J301&lt;&gt;"",Summary!J301,"")</f>
        <v/>
      </c>
      <c r="C300" s="44" t="str">
        <f>IF(Summary!E301+Summary!H301&gt;0,Summary!E301+Summary!H301,"")</f>
        <v/>
      </c>
      <c r="D300" s="40" t="str">
        <f>IF(Summary!L301&lt;&gt;"",Summary!L301,"")</f>
        <v/>
      </c>
      <c r="E300" s="40" t="str">
        <f>IF(Summary!M301&lt;&gt;"",Summary!M301,"")</f>
        <v/>
      </c>
      <c r="F300" s="20" t="str">
        <f>IF(Summary!N301&lt;&gt;"",Summary!N301,"")</f>
        <v/>
      </c>
      <c r="G300" s="20" t="str">
        <f>IF(Summary!O301&lt;&gt;"",Summary!O301,"")</f>
        <v/>
      </c>
    </row>
    <row r="301" spans="1:7">
      <c r="A301" s="39" t="str">
        <f>IF(Summary!A302&lt;&gt;"",Summary!A302,"")</f>
        <v/>
      </c>
      <c r="B301" s="21" t="str">
        <f>IF(Summary!J302&lt;&gt;"",Summary!J302,"")</f>
        <v/>
      </c>
      <c r="C301" s="44" t="str">
        <f>IF(Summary!E302+Summary!H302&gt;0,Summary!E302+Summary!H302,"")</f>
        <v/>
      </c>
      <c r="D301" s="40" t="str">
        <f>IF(Summary!L302&lt;&gt;"",Summary!L302,"")</f>
        <v/>
      </c>
      <c r="E301" s="40" t="str">
        <f>IF(Summary!M302&lt;&gt;"",Summary!M302,"")</f>
        <v/>
      </c>
      <c r="F301" s="20" t="str">
        <f>IF(Summary!N302&lt;&gt;"",Summary!N302,"")</f>
        <v/>
      </c>
      <c r="G301" s="20" t="str">
        <f>IF(Summary!O302&lt;&gt;"",Summary!O302,"")</f>
        <v/>
      </c>
    </row>
    <row r="302" spans="1:7">
      <c r="A302" s="39" t="str">
        <f>IF(Summary!A303&lt;&gt;"",Summary!A303,"")</f>
        <v/>
      </c>
      <c r="B302" s="21" t="str">
        <f>IF(Summary!J303&lt;&gt;"",Summary!J303,"")</f>
        <v/>
      </c>
      <c r="C302" s="44" t="str">
        <f>IF(Summary!E303+Summary!H303&gt;0,Summary!E303+Summary!H303,"")</f>
        <v/>
      </c>
      <c r="D302" s="40" t="str">
        <f>IF(Summary!L303&lt;&gt;"",Summary!L303,"")</f>
        <v/>
      </c>
      <c r="E302" s="40" t="str">
        <f>IF(Summary!M303&lt;&gt;"",Summary!M303,"")</f>
        <v/>
      </c>
      <c r="F302" s="20" t="str">
        <f>IF(Summary!N303&lt;&gt;"",Summary!N303,"")</f>
        <v/>
      </c>
      <c r="G302" s="20" t="str">
        <f>IF(Summary!O303&lt;&gt;"",Summary!O303,"")</f>
        <v/>
      </c>
    </row>
    <row r="303" spans="1:7">
      <c r="A303" s="39" t="str">
        <f>IF(Summary!A304&lt;&gt;"",Summary!A304,"")</f>
        <v/>
      </c>
      <c r="B303" s="21" t="str">
        <f>IF(Summary!J304&lt;&gt;"",Summary!J304,"")</f>
        <v/>
      </c>
      <c r="C303" s="44" t="str">
        <f>IF(Summary!E304+Summary!H304&gt;0,Summary!E304+Summary!H304,"")</f>
        <v/>
      </c>
      <c r="D303" s="40" t="str">
        <f>IF(Summary!L304&lt;&gt;"",Summary!L304,"")</f>
        <v/>
      </c>
      <c r="E303" s="40" t="str">
        <f>IF(Summary!M304&lt;&gt;"",Summary!M304,"")</f>
        <v/>
      </c>
      <c r="F303" s="20" t="str">
        <f>IF(Summary!N304&lt;&gt;"",Summary!N304,"")</f>
        <v/>
      </c>
      <c r="G303" s="20" t="str">
        <f>IF(Summary!O304&lt;&gt;"",Summary!O304,"")</f>
        <v/>
      </c>
    </row>
    <row r="304" spans="1:7">
      <c r="A304" s="39" t="str">
        <f>IF(Summary!A305&lt;&gt;"",Summary!A305,"")</f>
        <v/>
      </c>
      <c r="B304" s="21" t="str">
        <f>IF(Summary!J305&lt;&gt;"",Summary!J305,"")</f>
        <v/>
      </c>
      <c r="C304" s="44" t="str">
        <f>IF(Summary!E305+Summary!H305&gt;0,Summary!E305+Summary!H305,"")</f>
        <v/>
      </c>
      <c r="D304" s="40" t="str">
        <f>IF(Summary!L305&lt;&gt;"",Summary!L305,"")</f>
        <v/>
      </c>
      <c r="E304" s="40" t="str">
        <f>IF(Summary!M305&lt;&gt;"",Summary!M305,"")</f>
        <v/>
      </c>
      <c r="F304" s="20" t="str">
        <f>IF(Summary!N305&lt;&gt;"",Summary!N305,"")</f>
        <v/>
      </c>
      <c r="G304" s="20" t="str">
        <f>IF(Summary!O305&lt;&gt;"",Summary!O305,"")</f>
        <v/>
      </c>
    </row>
    <row r="305" spans="1:7">
      <c r="A305" s="39" t="str">
        <f>IF(Summary!A306&lt;&gt;"",Summary!A306,"")</f>
        <v/>
      </c>
      <c r="B305" s="21" t="str">
        <f>IF(Summary!J306&lt;&gt;"",Summary!J306,"")</f>
        <v/>
      </c>
      <c r="C305" s="44" t="str">
        <f>IF(Summary!E306+Summary!H306&gt;0,Summary!E306+Summary!H306,"")</f>
        <v/>
      </c>
      <c r="D305" s="40" t="str">
        <f>IF(Summary!L306&lt;&gt;"",Summary!L306,"")</f>
        <v/>
      </c>
      <c r="E305" s="40" t="str">
        <f>IF(Summary!M306&lt;&gt;"",Summary!M306,"")</f>
        <v/>
      </c>
      <c r="F305" s="20" t="str">
        <f>IF(Summary!N306&lt;&gt;"",Summary!N306,"")</f>
        <v/>
      </c>
      <c r="G305" s="20" t="str">
        <f>IF(Summary!O306&lt;&gt;"",Summary!O306,"")</f>
        <v/>
      </c>
    </row>
    <row r="306" spans="1:7">
      <c r="A306" s="39" t="str">
        <f>IF(Summary!A307&lt;&gt;"",Summary!A307,"")</f>
        <v/>
      </c>
      <c r="B306" s="21" t="str">
        <f>IF(Summary!J307&lt;&gt;"",Summary!J307,"")</f>
        <v/>
      </c>
      <c r="C306" s="44" t="str">
        <f>IF(Summary!E307+Summary!H307&gt;0,Summary!E307+Summary!H307,"")</f>
        <v/>
      </c>
      <c r="D306" s="40" t="str">
        <f>IF(Summary!L307&lt;&gt;"",Summary!L307,"")</f>
        <v/>
      </c>
      <c r="E306" s="40" t="str">
        <f>IF(Summary!M307&lt;&gt;"",Summary!M307,"")</f>
        <v/>
      </c>
      <c r="F306" s="20" t="str">
        <f>IF(Summary!N307&lt;&gt;"",Summary!N307,"")</f>
        <v/>
      </c>
      <c r="G306" s="20" t="str">
        <f>IF(Summary!O307&lt;&gt;"",Summary!O307,"")</f>
        <v/>
      </c>
    </row>
    <row r="307" spans="1:7">
      <c r="A307" s="39" t="str">
        <f>IF(Summary!A308&lt;&gt;"",Summary!A308,"")</f>
        <v/>
      </c>
      <c r="B307" s="21" t="str">
        <f>IF(Summary!J308&lt;&gt;"",Summary!J308,"")</f>
        <v/>
      </c>
      <c r="C307" s="44" t="str">
        <f>IF(Summary!E308+Summary!H308&gt;0,Summary!E308+Summary!H308,"")</f>
        <v/>
      </c>
      <c r="D307" s="40" t="str">
        <f>IF(Summary!L308&lt;&gt;"",Summary!L308,"")</f>
        <v/>
      </c>
      <c r="E307" s="40" t="str">
        <f>IF(Summary!M308&lt;&gt;"",Summary!M308,"")</f>
        <v/>
      </c>
      <c r="F307" s="20" t="str">
        <f>IF(Summary!N308&lt;&gt;"",Summary!N308,"")</f>
        <v/>
      </c>
      <c r="G307" s="20" t="str">
        <f>IF(Summary!O308&lt;&gt;"",Summary!O308,"")</f>
        <v/>
      </c>
    </row>
    <row r="308" spans="1:7">
      <c r="A308" s="39" t="str">
        <f>IF(Summary!A309&lt;&gt;"",Summary!A309,"")</f>
        <v/>
      </c>
      <c r="B308" s="21" t="str">
        <f>IF(Summary!J309&lt;&gt;"",Summary!J309,"")</f>
        <v/>
      </c>
      <c r="C308" s="44" t="str">
        <f>IF(Summary!E309+Summary!H309&gt;0,Summary!E309+Summary!H309,"")</f>
        <v/>
      </c>
      <c r="D308" s="40" t="str">
        <f>IF(Summary!L309&lt;&gt;"",Summary!L309,"")</f>
        <v/>
      </c>
      <c r="E308" s="40" t="str">
        <f>IF(Summary!M309&lt;&gt;"",Summary!M309,"")</f>
        <v/>
      </c>
      <c r="F308" s="20" t="str">
        <f>IF(Summary!N309&lt;&gt;"",Summary!N309,"")</f>
        <v/>
      </c>
      <c r="G308" s="20" t="str">
        <f>IF(Summary!O309&lt;&gt;"",Summary!O309,"")</f>
        <v/>
      </c>
    </row>
    <row r="309" spans="1:7">
      <c r="A309" s="39" t="str">
        <f>IF(Summary!A310&lt;&gt;"",Summary!A310,"")</f>
        <v/>
      </c>
      <c r="B309" s="21" t="str">
        <f>IF(Summary!J310&lt;&gt;"",Summary!J310,"")</f>
        <v/>
      </c>
      <c r="C309" s="44" t="str">
        <f>IF(Summary!E310+Summary!H310&gt;0,Summary!E310+Summary!H310,"")</f>
        <v/>
      </c>
      <c r="D309" s="40" t="str">
        <f>IF(Summary!L310&lt;&gt;"",Summary!L310,"")</f>
        <v/>
      </c>
      <c r="E309" s="40" t="str">
        <f>IF(Summary!M310&lt;&gt;"",Summary!M310,"")</f>
        <v/>
      </c>
      <c r="F309" s="20" t="str">
        <f>IF(Summary!N310&lt;&gt;"",Summary!N310,"")</f>
        <v/>
      </c>
      <c r="G309" s="20" t="str">
        <f>IF(Summary!O310&lt;&gt;"",Summary!O310,"")</f>
        <v/>
      </c>
    </row>
    <row r="310" spans="1:7">
      <c r="A310" s="39" t="str">
        <f>IF(Summary!A311&lt;&gt;"",Summary!A311,"")</f>
        <v/>
      </c>
      <c r="B310" s="21" t="str">
        <f>IF(Summary!J311&lt;&gt;"",Summary!J311,"")</f>
        <v/>
      </c>
      <c r="C310" s="44" t="str">
        <f>IF(Summary!E311+Summary!H311&gt;0,Summary!E311+Summary!H311,"")</f>
        <v/>
      </c>
      <c r="D310" s="40" t="str">
        <f>IF(Summary!L311&lt;&gt;"",Summary!L311,"")</f>
        <v/>
      </c>
      <c r="E310" s="40" t="str">
        <f>IF(Summary!M311&lt;&gt;"",Summary!M311,"")</f>
        <v/>
      </c>
      <c r="F310" s="20" t="str">
        <f>IF(Summary!N311&lt;&gt;"",Summary!N311,"")</f>
        <v/>
      </c>
      <c r="G310" s="20" t="str">
        <f>IF(Summary!O311&lt;&gt;"",Summary!O311,"")</f>
        <v/>
      </c>
    </row>
    <row r="311" spans="1:7">
      <c r="A311" s="39" t="str">
        <f>IF(Summary!A312&lt;&gt;"",Summary!A312,"")</f>
        <v/>
      </c>
      <c r="B311" s="21" t="str">
        <f>IF(Summary!J312&lt;&gt;"",Summary!J312,"")</f>
        <v/>
      </c>
      <c r="C311" s="44" t="str">
        <f>IF(Summary!E312+Summary!H312&gt;0,Summary!E312+Summary!H312,"")</f>
        <v/>
      </c>
      <c r="D311" s="40" t="str">
        <f>IF(Summary!L312&lt;&gt;"",Summary!L312,"")</f>
        <v/>
      </c>
      <c r="E311" s="40" t="str">
        <f>IF(Summary!M312&lt;&gt;"",Summary!M312,"")</f>
        <v/>
      </c>
      <c r="F311" s="20" t="str">
        <f>IF(Summary!N312&lt;&gt;"",Summary!N312,"")</f>
        <v/>
      </c>
      <c r="G311" s="20" t="str">
        <f>IF(Summary!O312&lt;&gt;"",Summary!O312,"")</f>
        <v/>
      </c>
    </row>
    <row r="312" spans="1:7">
      <c r="A312" s="39" t="str">
        <f>IF(Summary!A313&lt;&gt;"",Summary!A313,"")</f>
        <v/>
      </c>
      <c r="B312" s="21" t="str">
        <f>IF(Summary!J313&lt;&gt;"",Summary!J313,"")</f>
        <v/>
      </c>
      <c r="C312" s="44" t="str">
        <f>IF(Summary!E313+Summary!H313&gt;0,Summary!E313+Summary!H313,"")</f>
        <v/>
      </c>
      <c r="D312" s="40" t="str">
        <f>IF(Summary!L313&lt;&gt;"",Summary!L313,"")</f>
        <v/>
      </c>
      <c r="E312" s="40" t="str">
        <f>IF(Summary!M313&lt;&gt;"",Summary!M313,"")</f>
        <v/>
      </c>
      <c r="F312" s="20" t="str">
        <f>IF(Summary!N313&lt;&gt;"",Summary!N313,"")</f>
        <v/>
      </c>
      <c r="G312" s="20" t="str">
        <f>IF(Summary!O313&lt;&gt;"",Summary!O313,"")</f>
        <v/>
      </c>
    </row>
    <row r="313" spans="1:7">
      <c r="A313" s="39" t="str">
        <f>IF(Summary!A314&lt;&gt;"",Summary!A314,"")</f>
        <v/>
      </c>
      <c r="B313" s="21" t="str">
        <f>IF(Summary!J314&lt;&gt;"",Summary!J314,"")</f>
        <v/>
      </c>
      <c r="C313" s="44" t="str">
        <f>IF(Summary!E314+Summary!H314&gt;0,Summary!E314+Summary!H314,"")</f>
        <v/>
      </c>
      <c r="D313" s="40" t="str">
        <f>IF(Summary!L314&lt;&gt;"",Summary!L314,"")</f>
        <v/>
      </c>
      <c r="E313" s="40" t="str">
        <f>IF(Summary!M314&lt;&gt;"",Summary!M314,"")</f>
        <v/>
      </c>
      <c r="F313" s="20" t="str">
        <f>IF(Summary!N314&lt;&gt;"",Summary!N314,"")</f>
        <v/>
      </c>
      <c r="G313" s="20" t="str">
        <f>IF(Summary!O314&lt;&gt;"",Summary!O314,"")</f>
        <v/>
      </c>
    </row>
    <row r="314" spans="1:7">
      <c r="A314" s="39" t="str">
        <f>IF(Summary!A315&lt;&gt;"",Summary!A315,"")</f>
        <v/>
      </c>
      <c r="B314" s="21" t="str">
        <f>IF(Summary!J315&lt;&gt;"",Summary!J315,"")</f>
        <v/>
      </c>
      <c r="C314" s="44" t="str">
        <f>IF(Summary!E315+Summary!H315&gt;0,Summary!E315+Summary!H315,"")</f>
        <v/>
      </c>
      <c r="D314" s="40" t="str">
        <f>IF(Summary!L315&lt;&gt;"",Summary!L315,"")</f>
        <v/>
      </c>
      <c r="E314" s="40" t="str">
        <f>IF(Summary!M315&lt;&gt;"",Summary!M315,"")</f>
        <v/>
      </c>
      <c r="F314" s="20" t="str">
        <f>IF(Summary!N315&lt;&gt;"",Summary!N315,"")</f>
        <v/>
      </c>
      <c r="G314" s="20" t="str">
        <f>IF(Summary!O315&lt;&gt;"",Summary!O315,"")</f>
        <v/>
      </c>
    </row>
    <row r="315" spans="1:7">
      <c r="A315" s="39" t="str">
        <f>IF(Summary!A316&lt;&gt;"",Summary!A316,"")</f>
        <v/>
      </c>
      <c r="B315" s="21" t="str">
        <f>IF(Summary!J316&lt;&gt;"",Summary!J316,"")</f>
        <v/>
      </c>
      <c r="C315" s="44" t="str">
        <f>IF(Summary!E316+Summary!H316&gt;0,Summary!E316+Summary!H316,"")</f>
        <v/>
      </c>
      <c r="D315" s="40" t="str">
        <f>IF(Summary!L316&lt;&gt;"",Summary!L316,"")</f>
        <v/>
      </c>
      <c r="E315" s="40" t="str">
        <f>IF(Summary!M316&lt;&gt;"",Summary!M316,"")</f>
        <v/>
      </c>
      <c r="F315" s="20" t="str">
        <f>IF(Summary!N316&lt;&gt;"",Summary!N316,"")</f>
        <v/>
      </c>
      <c r="G315" s="20" t="str">
        <f>IF(Summary!O316&lt;&gt;"",Summary!O316,"")</f>
        <v/>
      </c>
    </row>
    <row r="316" spans="1:7">
      <c r="A316" s="39" t="str">
        <f>IF(Summary!A317&lt;&gt;"",Summary!A317,"")</f>
        <v/>
      </c>
      <c r="B316" s="21" t="str">
        <f>IF(Summary!J317&lt;&gt;"",Summary!J317,"")</f>
        <v/>
      </c>
      <c r="C316" s="44" t="str">
        <f>IF(Summary!E317+Summary!H317&gt;0,Summary!E317+Summary!H317,"")</f>
        <v/>
      </c>
      <c r="D316" s="40" t="str">
        <f>IF(Summary!L317&lt;&gt;"",Summary!L317,"")</f>
        <v/>
      </c>
      <c r="E316" s="40" t="str">
        <f>IF(Summary!M317&lt;&gt;"",Summary!M317,"")</f>
        <v/>
      </c>
      <c r="F316" s="20" t="str">
        <f>IF(Summary!N317&lt;&gt;"",Summary!N317,"")</f>
        <v/>
      </c>
      <c r="G316" s="20" t="str">
        <f>IF(Summary!O317&lt;&gt;"",Summary!O317,"")</f>
        <v/>
      </c>
    </row>
    <row r="317" spans="1:7">
      <c r="A317" s="39" t="str">
        <f>IF(Summary!A318&lt;&gt;"",Summary!A318,"")</f>
        <v/>
      </c>
      <c r="B317" s="21" t="str">
        <f>IF(Summary!J318&lt;&gt;"",Summary!J318,"")</f>
        <v/>
      </c>
      <c r="C317" s="44" t="str">
        <f>IF(Summary!E318+Summary!H318&gt;0,Summary!E318+Summary!H318,"")</f>
        <v/>
      </c>
      <c r="D317" s="40" t="str">
        <f>IF(Summary!L318&lt;&gt;"",Summary!L318,"")</f>
        <v/>
      </c>
      <c r="E317" s="40" t="str">
        <f>IF(Summary!M318&lt;&gt;"",Summary!M318,"")</f>
        <v/>
      </c>
      <c r="F317" s="20" t="str">
        <f>IF(Summary!N318&lt;&gt;"",Summary!N318,"")</f>
        <v/>
      </c>
      <c r="G317" s="20" t="str">
        <f>IF(Summary!O318&lt;&gt;"",Summary!O318,"")</f>
        <v/>
      </c>
    </row>
    <row r="318" spans="1:7">
      <c r="A318" s="39" t="str">
        <f>IF(Summary!A319&lt;&gt;"",Summary!A319,"")</f>
        <v/>
      </c>
      <c r="B318" s="21" t="str">
        <f>IF(Summary!J319&lt;&gt;"",Summary!J319,"")</f>
        <v/>
      </c>
      <c r="C318" s="44" t="str">
        <f>IF(Summary!E319+Summary!H319&gt;0,Summary!E319+Summary!H319,"")</f>
        <v/>
      </c>
      <c r="D318" s="40" t="str">
        <f>IF(Summary!L319&lt;&gt;"",Summary!L319,"")</f>
        <v/>
      </c>
      <c r="E318" s="40" t="str">
        <f>IF(Summary!M319&lt;&gt;"",Summary!M319,"")</f>
        <v/>
      </c>
      <c r="F318" s="20" t="str">
        <f>IF(Summary!N319&lt;&gt;"",Summary!N319,"")</f>
        <v/>
      </c>
      <c r="G318" s="20" t="str">
        <f>IF(Summary!O319&lt;&gt;"",Summary!O319,"")</f>
        <v/>
      </c>
    </row>
    <row r="319" spans="1:7">
      <c r="A319" s="39" t="str">
        <f>IF(Summary!A320&lt;&gt;"",Summary!A320,"")</f>
        <v/>
      </c>
      <c r="B319" s="21" t="str">
        <f>IF(Summary!J320&lt;&gt;"",Summary!J320,"")</f>
        <v/>
      </c>
      <c r="C319" s="44" t="str">
        <f>IF(Summary!E320+Summary!H320&gt;0,Summary!E320+Summary!H320,"")</f>
        <v/>
      </c>
      <c r="D319" s="40" t="str">
        <f>IF(Summary!L320&lt;&gt;"",Summary!L320,"")</f>
        <v/>
      </c>
      <c r="E319" s="40" t="str">
        <f>IF(Summary!M320&lt;&gt;"",Summary!M320,"")</f>
        <v/>
      </c>
      <c r="F319" s="20" t="str">
        <f>IF(Summary!N320&lt;&gt;"",Summary!N320,"")</f>
        <v/>
      </c>
      <c r="G319" s="20" t="str">
        <f>IF(Summary!O320&lt;&gt;"",Summary!O320,"")</f>
        <v/>
      </c>
    </row>
    <row r="320" spans="1:7">
      <c r="A320" s="39" t="str">
        <f>IF(Summary!A321&lt;&gt;"",Summary!A321,"")</f>
        <v/>
      </c>
      <c r="B320" s="21" t="str">
        <f>IF(Summary!J321&lt;&gt;"",Summary!J321,"")</f>
        <v/>
      </c>
      <c r="C320" s="44" t="str">
        <f>IF(Summary!E321+Summary!H321&gt;0,Summary!E321+Summary!H321,"")</f>
        <v/>
      </c>
      <c r="D320" s="40" t="str">
        <f>IF(Summary!L321&lt;&gt;"",Summary!L321,"")</f>
        <v/>
      </c>
      <c r="E320" s="40" t="str">
        <f>IF(Summary!M321&lt;&gt;"",Summary!M321,"")</f>
        <v/>
      </c>
      <c r="F320" s="20" t="str">
        <f>IF(Summary!N321&lt;&gt;"",Summary!N321,"")</f>
        <v/>
      </c>
      <c r="G320" s="20" t="str">
        <f>IF(Summary!O321&lt;&gt;"",Summary!O321,"")</f>
        <v/>
      </c>
    </row>
    <row r="321" spans="1:7">
      <c r="A321" s="39" t="str">
        <f>IF(Summary!A322&lt;&gt;"",Summary!A322,"")</f>
        <v/>
      </c>
      <c r="B321" s="21" t="str">
        <f>IF(Summary!J322&lt;&gt;"",Summary!J322,"")</f>
        <v/>
      </c>
      <c r="C321" s="44" t="str">
        <f>IF(Summary!E322+Summary!H322&gt;0,Summary!E322+Summary!H322,"")</f>
        <v/>
      </c>
      <c r="D321" s="40" t="str">
        <f>IF(Summary!L322&lt;&gt;"",Summary!L322,"")</f>
        <v/>
      </c>
      <c r="E321" s="40" t="str">
        <f>IF(Summary!M322&lt;&gt;"",Summary!M322,"")</f>
        <v/>
      </c>
      <c r="F321" s="20" t="str">
        <f>IF(Summary!N322&lt;&gt;"",Summary!N322,"")</f>
        <v/>
      </c>
      <c r="G321" s="20" t="str">
        <f>IF(Summary!O322&lt;&gt;"",Summary!O322,"")</f>
        <v/>
      </c>
    </row>
    <row r="322" spans="1:7">
      <c r="A322" s="39" t="str">
        <f>IF(Summary!A323&lt;&gt;"",Summary!A323,"")</f>
        <v/>
      </c>
      <c r="B322" s="21" t="str">
        <f>IF(Summary!J323&lt;&gt;"",Summary!J323,"")</f>
        <v/>
      </c>
      <c r="C322" s="44" t="str">
        <f>IF(Summary!E323+Summary!H323&gt;0,Summary!E323+Summary!H323,"")</f>
        <v/>
      </c>
      <c r="D322" s="40" t="str">
        <f>IF(Summary!L323&lt;&gt;"",Summary!L323,"")</f>
        <v/>
      </c>
      <c r="E322" s="40" t="str">
        <f>IF(Summary!M323&lt;&gt;"",Summary!M323,"")</f>
        <v/>
      </c>
      <c r="F322" s="20" t="str">
        <f>IF(Summary!N323&lt;&gt;"",Summary!N323,"")</f>
        <v/>
      </c>
      <c r="G322" s="20" t="str">
        <f>IF(Summary!O323&lt;&gt;"",Summary!O323,"")</f>
        <v/>
      </c>
    </row>
    <row r="323" spans="1:7">
      <c r="A323" s="39" t="str">
        <f>IF(Summary!A324&lt;&gt;"",Summary!A324,"")</f>
        <v/>
      </c>
      <c r="B323" s="21" t="str">
        <f>IF(Summary!J324&lt;&gt;"",Summary!J324,"")</f>
        <v/>
      </c>
      <c r="C323" s="44" t="str">
        <f>IF(Summary!E324+Summary!H324&gt;0,Summary!E324+Summary!H324,"")</f>
        <v/>
      </c>
      <c r="D323" s="40" t="str">
        <f>IF(Summary!L324&lt;&gt;"",Summary!L324,"")</f>
        <v/>
      </c>
      <c r="E323" s="40" t="str">
        <f>IF(Summary!M324&lt;&gt;"",Summary!M324,"")</f>
        <v/>
      </c>
      <c r="F323" s="20" t="str">
        <f>IF(Summary!N324&lt;&gt;"",Summary!N324,"")</f>
        <v/>
      </c>
      <c r="G323" s="20" t="str">
        <f>IF(Summary!O324&lt;&gt;"",Summary!O324,"")</f>
        <v/>
      </c>
    </row>
    <row r="324" spans="1:7">
      <c r="A324" s="39" t="str">
        <f>IF(Summary!A325&lt;&gt;"",Summary!A325,"")</f>
        <v/>
      </c>
      <c r="B324" s="21" t="str">
        <f>IF(Summary!J325&lt;&gt;"",Summary!J325,"")</f>
        <v/>
      </c>
      <c r="C324" s="44" t="str">
        <f>IF(Summary!E325+Summary!H325&gt;0,Summary!E325+Summary!H325,"")</f>
        <v/>
      </c>
      <c r="D324" s="40" t="str">
        <f>IF(Summary!L325&lt;&gt;"",Summary!L325,"")</f>
        <v/>
      </c>
      <c r="E324" s="40" t="str">
        <f>IF(Summary!M325&lt;&gt;"",Summary!M325,"")</f>
        <v/>
      </c>
      <c r="F324" s="20" t="str">
        <f>IF(Summary!N325&lt;&gt;"",Summary!N325,"")</f>
        <v/>
      </c>
      <c r="G324" s="20" t="str">
        <f>IF(Summary!O325&lt;&gt;"",Summary!O325,"")</f>
        <v/>
      </c>
    </row>
    <row r="325" spans="1:7">
      <c r="A325" s="39" t="str">
        <f>IF(Summary!A326&lt;&gt;"",Summary!A326,"")</f>
        <v/>
      </c>
      <c r="B325" s="21" t="str">
        <f>IF(Summary!J326&lt;&gt;"",Summary!J326,"")</f>
        <v/>
      </c>
      <c r="C325" s="44" t="str">
        <f>IF(Summary!E326+Summary!H326&gt;0,Summary!E326+Summary!H326,"")</f>
        <v/>
      </c>
      <c r="D325" s="40" t="str">
        <f>IF(Summary!L326&lt;&gt;"",Summary!L326,"")</f>
        <v/>
      </c>
      <c r="E325" s="40" t="str">
        <f>IF(Summary!M326&lt;&gt;"",Summary!M326,"")</f>
        <v/>
      </c>
      <c r="F325" s="20" t="str">
        <f>IF(Summary!N326&lt;&gt;"",Summary!N326,"")</f>
        <v/>
      </c>
      <c r="G325" s="20" t="str">
        <f>IF(Summary!O326&lt;&gt;"",Summary!O326,"")</f>
        <v/>
      </c>
    </row>
    <row r="326" spans="1:7">
      <c r="A326" s="39" t="str">
        <f>IF(Summary!A327&lt;&gt;"",Summary!A327,"")</f>
        <v/>
      </c>
      <c r="B326" s="21" t="str">
        <f>IF(Summary!J327&lt;&gt;"",Summary!J327,"")</f>
        <v/>
      </c>
      <c r="C326" s="44" t="str">
        <f>IF(Summary!E327+Summary!H327&gt;0,Summary!E327+Summary!H327,"")</f>
        <v/>
      </c>
      <c r="D326" s="40" t="str">
        <f>IF(Summary!L327&lt;&gt;"",Summary!L327,"")</f>
        <v/>
      </c>
      <c r="E326" s="40" t="str">
        <f>IF(Summary!M327&lt;&gt;"",Summary!M327,"")</f>
        <v/>
      </c>
      <c r="F326" s="20" t="str">
        <f>IF(Summary!N327&lt;&gt;"",Summary!N327,"")</f>
        <v/>
      </c>
      <c r="G326" s="20" t="str">
        <f>IF(Summary!O327&lt;&gt;"",Summary!O327,"")</f>
        <v/>
      </c>
    </row>
    <row r="327" spans="1:7">
      <c r="A327" s="39" t="str">
        <f>IF(Summary!A328&lt;&gt;"",Summary!A328,"")</f>
        <v/>
      </c>
      <c r="B327" s="21" t="str">
        <f>IF(Summary!J328&lt;&gt;"",Summary!J328,"")</f>
        <v/>
      </c>
      <c r="C327" s="44" t="str">
        <f>IF(Summary!E328+Summary!H328&gt;0,Summary!E328+Summary!H328,"")</f>
        <v/>
      </c>
      <c r="D327" s="40" t="str">
        <f>IF(Summary!L328&lt;&gt;"",Summary!L328,"")</f>
        <v/>
      </c>
      <c r="E327" s="40" t="str">
        <f>IF(Summary!M328&lt;&gt;"",Summary!M328,"")</f>
        <v/>
      </c>
      <c r="F327" s="20" t="str">
        <f>IF(Summary!N328&lt;&gt;"",Summary!N328,"")</f>
        <v/>
      </c>
      <c r="G327" s="20" t="str">
        <f>IF(Summary!O328&lt;&gt;"",Summary!O328,"")</f>
        <v/>
      </c>
    </row>
    <row r="328" spans="1:7">
      <c r="A328" s="39" t="str">
        <f>IF(Summary!A329&lt;&gt;"",Summary!A329,"")</f>
        <v/>
      </c>
      <c r="B328" s="21" t="str">
        <f>IF(Summary!J329&lt;&gt;"",Summary!J329,"")</f>
        <v/>
      </c>
      <c r="C328" s="44" t="str">
        <f>IF(Summary!E329+Summary!H329&gt;0,Summary!E329+Summary!H329,"")</f>
        <v/>
      </c>
      <c r="D328" s="40" t="str">
        <f>IF(Summary!L329&lt;&gt;"",Summary!L329,"")</f>
        <v/>
      </c>
      <c r="E328" s="40" t="str">
        <f>IF(Summary!M329&lt;&gt;"",Summary!M329,"")</f>
        <v/>
      </c>
      <c r="F328" s="20" t="str">
        <f>IF(Summary!N329&lt;&gt;"",Summary!N329,"")</f>
        <v/>
      </c>
      <c r="G328" s="20" t="str">
        <f>IF(Summary!O329&lt;&gt;"",Summary!O329,"")</f>
        <v/>
      </c>
    </row>
    <row r="329" spans="1:7">
      <c r="A329" s="39" t="str">
        <f>IF(Summary!A330&lt;&gt;"",Summary!A330,"")</f>
        <v/>
      </c>
      <c r="B329" s="21" t="str">
        <f>IF(Summary!J330&lt;&gt;"",Summary!J330,"")</f>
        <v/>
      </c>
      <c r="C329" s="44" t="str">
        <f>IF(Summary!E330+Summary!H330&gt;0,Summary!E330+Summary!H330,"")</f>
        <v/>
      </c>
      <c r="D329" s="40" t="str">
        <f>IF(Summary!L330&lt;&gt;"",Summary!L330,"")</f>
        <v/>
      </c>
      <c r="E329" s="40" t="str">
        <f>IF(Summary!M330&lt;&gt;"",Summary!M330,"")</f>
        <v/>
      </c>
      <c r="F329" s="20" t="str">
        <f>IF(Summary!N330&lt;&gt;"",Summary!N330,"")</f>
        <v/>
      </c>
      <c r="G329" s="20" t="str">
        <f>IF(Summary!O330&lt;&gt;"",Summary!O330,"")</f>
        <v/>
      </c>
    </row>
    <row r="330" spans="1:7">
      <c r="A330" s="39" t="str">
        <f>IF(Summary!A331&lt;&gt;"",Summary!A331,"")</f>
        <v/>
      </c>
      <c r="B330" s="21" t="str">
        <f>IF(Summary!J331&lt;&gt;"",Summary!J331,"")</f>
        <v/>
      </c>
      <c r="C330" s="44" t="str">
        <f>IF(Summary!E331+Summary!H331&gt;0,Summary!E331+Summary!H331,"")</f>
        <v/>
      </c>
      <c r="D330" s="40" t="str">
        <f>IF(Summary!L331&lt;&gt;"",Summary!L331,"")</f>
        <v/>
      </c>
      <c r="E330" s="40" t="str">
        <f>IF(Summary!M331&lt;&gt;"",Summary!M331,"")</f>
        <v/>
      </c>
      <c r="F330" s="20" t="str">
        <f>IF(Summary!N331&lt;&gt;"",Summary!N331,"")</f>
        <v/>
      </c>
      <c r="G330" s="20" t="str">
        <f>IF(Summary!O331&lt;&gt;"",Summary!O331,"")</f>
        <v/>
      </c>
    </row>
    <row r="331" spans="1:7">
      <c r="A331" s="39" t="str">
        <f>IF(Summary!A332&lt;&gt;"",Summary!A332,"")</f>
        <v/>
      </c>
      <c r="B331" s="21" t="str">
        <f>IF(Summary!J332&lt;&gt;"",Summary!J332,"")</f>
        <v/>
      </c>
      <c r="C331" s="44" t="str">
        <f>IF(Summary!E332+Summary!H332&gt;0,Summary!E332+Summary!H332,"")</f>
        <v/>
      </c>
      <c r="D331" s="40" t="str">
        <f>IF(Summary!L332&lt;&gt;"",Summary!L332,"")</f>
        <v/>
      </c>
      <c r="E331" s="40" t="str">
        <f>IF(Summary!M332&lt;&gt;"",Summary!M332,"")</f>
        <v/>
      </c>
      <c r="F331" s="20" t="str">
        <f>IF(Summary!N332&lt;&gt;"",Summary!N332,"")</f>
        <v/>
      </c>
      <c r="G331" s="20" t="str">
        <f>IF(Summary!O332&lt;&gt;"",Summary!O332,"")</f>
        <v/>
      </c>
    </row>
    <row r="332" spans="1:7">
      <c r="A332" s="39" t="str">
        <f>IF(Summary!A333&lt;&gt;"",Summary!A333,"")</f>
        <v/>
      </c>
      <c r="B332" s="21" t="str">
        <f>IF(Summary!J333&lt;&gt;"",Summary!J333,"")</f>
        <v/>
      </c>
      <c r="C332" s="44" t="str">
        <f>IF(Summary!E333+Summary!H333&gt;0,Summary!E333+Summary!H333,"")</f>
        <v/>
      </c>
      <c r="D332" s="40" t="str">
        <f>IF(Summary!L333&lt;&gt;"",Summary!L333,"")</f>
        <v/>
      </c>
      <c r="E332" s="40" t="str">
        <f>IF(Summary!M333&lt;&gt;"",Summary!M333,"")</f>
        <v/>
      </c>
      <c r="F332" s="20" t="str">
        <f>IF(Summary!N333&lt;&gt;"",Summary!N333,"")</f>
        <v/>
      </c>
      <c r="G332" s="20" t="str">
        <f>IF(Summary!O333&lt;&gt;"",Summary!O333,"")</f>
        <v/>
      </c>
    </row>
    <row r="333" spans="1:7">
      <c r="A333" s="39" t="str">
        <f>IF(Summary!A334&lt;&gt;"",Summary!A334,"")</f>
        <v/>
      </c>
      <c r="B333" s="21" t="str">
        <f>IF(Summary!J334&lt;&gt;"",Summary!J334,"")</f>
        <v/>
      </c>
      <c r="C333" s="44" t="str">
        <f>IF(Summary!E334+Summary!H334&gt;0,Summary!E334+Summary!H334,"")</f>
        <v/>
      </c>
      <c r="D333" s="40" t="str">
        <f>IF(Summary!L334&lt;&gt;"",Summary!L334,"")</f>
        <v/>
      </c>
      <c r="E333" s="40" t="str">
        <f>IF(Summary!M334&lt;&gt;"",Summary!M334,"")</f>
        <v/>
      </c>
      <c r="F333" s="20" t="str">
        <f>IF(Summary!N334&lt;&gt;"",Summary!N334,"")</f>
        <v/>
      </c>
      <c r="G333" s="20" t="str">
        <f>IF(Summary!O334&lt;&gt;"",Summary!O334,"")</f>
        <v/>
      </c>
    </row>
    <row r="334" spans="1:7">
      <c r="A334" s="39" t="str">
        <f>IF(Summary!A335&lt;&gt;"",Summary!A335,"")</f>
        <v/>
      </c>
      <c r="B334" s="21" t="str">
        <f>IF(Summary!J335&lt;&gt;"",Summary!J335,"")</f>
        <v/>
      </c>
      <c r="C334" s="44" t="str">
        <f>IF(Summary!E335+Summary!H335&gt;0,Summary!E335+Summary!H335,"")</f>
        <v/>
      </c>
      <c r="D334" s="40" t="str">
        <f>IF(Summary!L335&lt;&gt;"",Summary!L335,"")</f>
        <v/>
      </c>
      <c r="E334" s="40" t="str">
        <f>IF(Summary!M335&lt;&gt;"",Summary!M335,"")</f>
        <v/>
      </c>
      <c r="F334" s="20" t="str">
        <f>IF(Summary!N335&lt;&gt;"",Summary!N335,"")</f>
        <v/>
      </c>
      <c r="G334" s="20" t="str">
        <f>IF(Summary!O335&lt;&gt;"",Summary!O335,"")</f>
        <v/>
      </c>
    </row>
    <row r="335" spans="1:7">
      <c r="A335" s="39" t="str">
        <f>IF(Summary!A336&lt;&gt;"",Summary!A336,"")</f>
        <v/>
      </c>
      <c r="B335" s="21" t="str">
        <f>IF(Summary!J336&lt;&gt;"",Summary!J336,"")</f>
        <v/>
      </c>
      <c r="C335" s="44" t="str">
        <f>IF(Summary!E336+Summary!H336&gt;0,Summary!E336+Summary!H336,"")</f>
        <v/>
      </c>
      <c r="D335" s="40" t="str">
        <f>IF(Summary!L336&lt;&gt;"",Summary!L336,"")</f>
        <v/>
      </c>
      <c r="E335" s="40" t="str">
        <f>IF(Summary!M336&lt;&gt;"",Summary!M336,"")</f>
        <v/>
      </c>
      <c r="F335" s="20" t="str">
        <f>IF(Summary!N336&lt;&gt;"",Summary!N336,"")</f>
        <v/>
      </c>
      <c r="G335" s="20" t="str">
        <f>IF(Summary!O336&lt;&gt;"",Summary!O336,"")</f>
        <v/>
      </c>
    </row>
    <row r="336" spans="1:7">
      <c r="A336" s="39" t="str">
        <f>IF(Summary!A337&lt;&gt;"",Summary!A337,"")</f>
        <v/>
      </c>
      <c r="B336" s="21" t="str">
        <f>IF(Summary!J337&lt;&gt;"",Summary!J337,"")</f>
        <v/>
      </c>
      <c r="C336" s="44" t="str">
        <f>IF(Summary!E337+Summary!H337&gt;0,Summary!E337+Summary!H337,"")</f>
        <v/>
      </c>
      <c r="D336" s="40" t="str">
        <f>IF(Summary!L337&lt;&gt;"",Summary!L337,"")</f>
        <v/>
      </c>
      <c r="E336" s="40" t="str">
        <f>IF(Summary!M337&lt;&gt;"",Summary!M337,"")</f>
        <v/>
      </c>
      <c r="F336" s="20" t="str">
        <f>IF(Summary!N337&lt;&gt;"",Summary!N337,"")</f>
        <v/>
      </c>
      <c r="G336" s="20" t="str">
        <f>IF(Summary!O337&lt;&gt;"",Summary!O337,"")</f>
        <v/>
      </c>
    </row>
    <row r="337" spans="1:7">
      <c r="A337" s="39" t="str">
        <f>IF(Summary!A338&lt;&gt;"",Summary!A338,"")</f>
        <v/>
      </c>
      <c r="B337" s="21" t="str">
        <f>IF(Summary!J338&lt;&gt;"",Summary!J338,"")</f>
        <v/>
      </c>
      <c r="C337" s="44" t="str">
        <f>IF(Summary!E338+Summary!H338&gt;0,Summary!E338+Summary!H338,"")</f>
        <v/>
      </c>
      <c r="D337" s="40" t="str">
        <f>IF(Summary!L338&lt;&gt;"",Summary!L338,"")</f>
        <v/>
      </c>
      <c r="E337" s="40" t="str">
        <f>IF(Summary!M338&lt;&gt;"",Summary!M338,"")</f>
        <v/>
      </c>
      <c r="F337" s="20" t="str">
        <f>IF(Summary!N338&lt;&gt;"",Summary!N338,"")</f>
        <v/>
      </c>
      <c r="G337" s="20" t="str">
        <f>IF(Summary!O338&lt;&gt;"",Summary!O338,"")</f>
        <v/>
      </c>
    </row>
    <row r="338" spans="1:7">
      <c r="A338" s="39" t="str">
        <f>IF(Summary!A339&lt;&gt;"",Summary!A339,"")</f>
        <v/>
      </c>
      <c r="B338" s="21" t="str">
        <f>IF(Summary!J339&lt;&gt;"",Summary!J339,"")</f>
        <v/>
      </c>
      <c r="C338" s="44" t="str">
        <f>IF(Summary!E339+Summary!H339&gt;0,Summary!E339+Summary!H339,"")</f>
        <v/>
      </c>
      <c r="D338" s="40" t="str">
        <f>IF(Summary!L339&lt;&gt;"",Summary!L339,"")</f>
        <v/>
      </c>
      <c r="E338" s="40" t="str">
        <f>IF(Summary!M339&lt;&gt;"",Summary!M339,"")</f>
        <v/>
      </c>
      <c r="F338" s="20" t="str">
        <f>IF(Summary!N339&lt;&gt;"",Summary!N339,"")</f>
        <v/>
      </c>
      <c r="G338" s="20" t="str">
        <f>IF(Summary!O339&lt;&gt;"",Summary!O339,"")</f>
        <v/>
      </c>
    </row>
    <row r="339" spans="1:7">
      <c r="A339" s="39" t="str">
        <f>IF(Summary!A340&lt;&gt;"",Summary!A340,"")</f>
        <v/>
      </c>
      <c r="B339" s="21" t="str">
        <f>IF(Summary!J340&lt;&gt;"",Summary!J340,"")</f>
        <v/>
      </c>
      <c r="C339" s="44" t="str">
        <f>IF(Summary!E340+Summary!H340&gt;0,Summary!E340+Summary!H340,"")</f>
        <v/>
      </c>
      <c r="D339" s="40" t="str">
        <f>IF(Summary!L340&lt;&gt;"",Summary!L340,"")</f>
        <v/>
      </c>
      <c r="E339" s="40" t="str">
        <f>IF(Summary!M340&lt;&gt;"",Summary!M340,"")</f>
        <v/>
      </c>
      <c r="F339" s="20" t="str">
        <f>IF(Summary!N340&lt;&gt;"",Summary!N340,"")</f>
        <v/>
      </c>
      <c r="G339" s="20" t="str">
        <f>IF(Summary!O340&lt;&gt;"",Summary!O340,"")</f>
        <v/>
      </c>
    </row>
    <row r="340" spans="1:7">
      <c r="A340" s="39" t="str">
        <f>IF(Summary!A341&lt;&gt;"",Summary!A341,"")</f>
        <v/>
      </c>
      <c r="B340" s="21" t="str">
        <f>IF(Summary!J341&lt;&gt;"",Summary!J341,"")</f>
        <v/>
      </c>
      <c r="C340" s="44" t="str">
        <f>IF(Summary!E341+Summary!H341&gt;0,Summary!E341+Summary!H341,"")</f>
        <v/>
      </c>
      <c r="D340" s="40" t="str">
        <f>IF(Summary!L341&lt;&gt;"",Summary!L341,"")</f>
        <v/>
      </c>
      <c r="E340" s="40" t="str">
        <f>IF(Summary!M341&lt;&gt;"",Summary!M341,"")</f>
        <v/>
      </c>
      <c r="F340" s="20" t="str">
        <f>IF(Summary!N341&lt;&gt;"",Summary!N341,"")</f>
        <v/>
      </c>
      <c r="G340" s="20" t="str">
        <f>IF(Summary!O341&lt;&gt;"",Summary!O341,"")</f>
        <v/>
      </c>
    </row>
    <row r="341" spans="1:7">
      <c r="A341" s="39" t="str">
        <f>IF(Summary!A342&lt;&gt;"",Summary!A342,"")</f>
        <v/>
      </c>
      <c r="B341" s="21" t="str">
        <f>IF(Summary!J342&lt;&gt;"",Summary!J342,"")</f>
        <v/>
      </c>
      <c r="C341" s="44" t="str">
        <f>IF(Summary!E342+Summary!H342&gt;0,Summary!E342+Summary!H342,"")</f>
        <v/>
      </c>
      <c r="D341" s="40" t="str">
        <f>IF(Summary!L342&lt;&gt;"",Summary!L342,"")</f>
        <v/>
      </c>
      <c r="E341" s="40" t="str">
        <f>IF(Summary!M342&lt;&gt;"",Summary!M342,"")</f>
        <v/>
      </c>
      <c r="F341" s="20" t="str">
        <f>IF(Summary!N342&lt;&gt;"",Summary!N342,"")</f>
        <v/>
      </c>
      <c r="G341" s="20" t="str">
        <f>IF(Summary!O342&lt;&gt;"",Summary!O342,"")</f>
        <v/>
      </c>
    </row>
    <row r="342" spans="1:7">
      <c r="A342" s="39" t="str">
        <f>IF(Summary!A343&lt;&gt;"",Summary!A343,"")</f>
        <v/>
      </c>
      <c r="B342" s="21" t="str">
        <f>IF(Summary!J343&lt;&gt;"",Summary!J343,"")</f>
        <v/>
      </c>
      <c r="C342" s="44" t="str">
        <f>IF(Summary!E343+Summary!H343&gt;0,Summary!E343+Summary!H343,"")</f>
        <v/>
      </c>
      <c r="D342" s="40" t="str">
        <f>IF(Summary!L343&lt;&gt;"",Summary!L343,"")</f>
        <v/>
      </c>
      <c r="E342" s="40" t="str">
        <f>IF(Summary!M343&lt;&gt;"",Summary!M343,"")</f>
        <v/>
      </c>
      <c r="F342" s="20" t="str">
        <f>IF(Summary!N343&lt;&gt;"",Summary!N343,"")</f>
        <v/>
      </c>
      <c r="G342" s="20" t="str">
        <f>IF(Summary!O343&lt;&gt;"",Summary!O343,"")</f>
        <v/>
      </c>
    </row>
    <row r="343" spans="1:7">
      <c r="A343" s="39" t="str">
        <f>IF(Summary!A344&lt;&gt;"",Summary!A344,"")</f>
        <v/>
      </c>
      <c r="B343" s="21" t="str">
        <f>IF(Summary!J344&lt;&gt;"",Summary!J344,"")</f>
        <v/>
      </c>
      <c r="C343" s="44" t="str">
        <f>IF(Summary!E344+Summary!H344&gt;0,Summary!E344+Summary!H344,"")</f>
        <v/>
      </c>
      <c r="D343" s="40" t="str">
        <f>IF(Summary!L344&lt;&gt;"",Summary!L344,"")</f>
        <v/>
      </c>
      <c r="E343" s="40" t="str">
        <f>IF(Summary!M344&lt;&gt;"",Summary!M344,"")</f>
        <v/>
      </c>
      <c r="F343" s="20" t="str">
        <f>IF(Summary!N344&lt;&gt;"",Summary!N344,"")</f>
        <v/>
      </c>
      <c r="G343" s="20" t="str">
        <f>IF(Summary!O344&lt;&gt;"",Summary!O344,"")</f>
        <v/>
      </c>
    </row>
    <row r="344" spans="1:7">
      <c r="A344" s="39" t="str">
        <f>IF(Summary!A345&lt;&gt;"",Summary!A345,"")</f>
        <v/>
      </c>
      <c r="B344" s="21" t="str">
        <f>IF(Summary!J345&lt;&gt;"",Summary!J345,"")</f>
        <v/>
      </c>
      <c r="C344" s="44" t="str">
        <f>IF(Summary!E345+Summary!H345&gt;0,Summary!E345+Summary!H345,"")</f>
        <v/>
      </c>
      <c r="D344" s="40" t="str">
        <f>IF(Summary!L345&lt;&gt;"",Summary!L345,"")</f>
        <v/>
      </c>
      <c r="E344" s="40" t="str">
        <f>IF(Summary!M345&lt;&gt;"",Summary!M345,"")</f>
        <v/>
      </c>
      <c r="F344" s="20" t="str">
        <f>IF(Summary!N345&lt;&gt;"",Summary!N345,"")</f>
        <v/>
      </c>
      <c r="G344" s="20" t="str">
        <f>IF(Summary!O345&lt;&gt;"",Summary!O345,"")</f>
        <v/>
      </c>
    </row>
    <row r="345" spans="1:7">
      <c r="A345" s="39" t="str">
        <f>IF(Summary!A346&lt;&gt;"",Summary!A346,"")</f>
        <v/>
      </c>
      <c r="B345" s="21" t="str">
        <f>IF(Summary!J346&lt;&gt;"",Summary!J346,"")</f>
        <v/>
      </c>
      <c r="C345" s="44" t="str">
        <f>IF(Summary!E346+Summary!H346&gt;0,Summary!E346+Summary!H346,"")</f>
        <v/>
      </c>
      <c r="D345" s="40" t="str">
        <f>IF(Summary!L346&lt;&gt;"",Summary!L346,"")</f>
        <v/>
      </c>
      <c r="E345" s="40" t="str">
        <f>IF(Summary!M346&lt;&gt;"",Summary!M346,"")</f>
        <v/>
      </c>
      <c r="F345" s="20" t="str">
        <f>IF(Summary!N346&lt;&gt;"",Summary!N346,"")</f>
        <v/>
      </c>
      <c r="G345" s="20" t="str">
        <f>IF(Summary!O346&lt;&gt;"",Summary!O346,"")</f>
        <v/>
      </c>
    </row>
    <row r="346" spans="1:7">
      <c r="A346" s="39" t="str">
        <f>IF(Summary!A347&lt;&gt;"",Summary!A347,"")</f>
        <v/>
      </c>
      <c r="B346" s="21" t="str">
        <f>IF(Summary!J347&lt;&gt;"",Summary!J347,"")</f>
        <v/>
      </c>
      <c r="C346" s="44" t="str">
        <f>IF(Summary!E347+Summary!H347&gt;0,Summary!E347+Summary!H347,"")</f>
        <v/>
      </c>
      <c r="D346" s="40" t="str">
        <f>IF(Summary!L347&lt;&gt;"",Summary!L347,"")</f>
        <v/>
      </c>
      <c r="E346" s="40" t="str">
        <f>IF(Summary!M347&lt;&gt;"",Summary!M347,"")</f>
        <v/>
      </c>
      <c r="F346" s="20" t="str">
        <f>IF(Summary!N347&lt;&gt;"",Summary!N347,"")</f>
        <v/>
      </c>
      <c r="G346" s="20" t="str">
        <f>IF(Summary!O347&lt;&gt;"",Summary!O347,"")</f>
        <v/>
      </c>
    </row>
    <row r="347" spans="1:7">
      <c r="A347" s="39" t="str">
        <f>IF(Summary!A348&lt;&gt;"",Summary!A348,"")</f>
        <v/>
      </c>
      <c r="B347" s="21" t="str">
        <f>IF(Summary!J348&lt;&gt;"",Summary!J348,"")</f>
        <v/>
      </c>
      <c r="C347" s="44" t="str">
        <f>IF(Summary!E348+Summary!H348&gt;0,Summary!E348+Summary!H348,"")</f>
        <v/>
      </c>
      <c r="D347" s="40" t="str">
        <f>IF(Summary!L348&lt;&gt;"",Summary!L348,"")</f>
        <v/>
      </c>
      <c r="E347" s="40" t="str">
        <f>IF(Summary!M348&lt;&gt;"",Summary!M348,"")</f>
        <v/>
      </c>
      <c r="F347" s="20" t="str">
        <f>IF(Summary!N348&lt;&gt;"",Summary!N348,"")</f>
        <v/>
      </c>
      <c r="G347" s="20" t="str">
        <f>IF(Summary!O348&lt;&gt;"",Summary!O348,"")</f>
        <v/>
      </c>
    </row>
    <row r="348" spans="1:7">
      <c r="A348" s="39" t="str">
        <f>IF(Summary!A349&lt;&gt;"",Summary!A349,"")</f>
        <v/>
      </c>
      <c r="B348" s="21" t="str">
        <f>IF(Summary!J349&lt;&gt;"",Summary!J349,"")</f>
        <v/>
      </c>
      <c r="C348" s="44" t="str">
        <f>IF(Summary!E349+Summary!H349&gt;0,Summary!E349+Summary!H349,"")</f>
        <v/>
      </c>
      <c r="D348" s="40" t="str">
        <f>IF(Summary!L349&lt;&gt;"",Summary!L349,"")</f>
        <v/>
      </c>
      <c r="E348" s="40" t="str">
        <f>IF(Summary!M349&lt;&gt;"",Summary!M349,"")</f>
        <v/>
      </c>
      <c r="F348" s="20" t="str">
        <f>IF(Summary!N349&lt;&gt;"",Summary!N349,"")</f>
        <v/>
      </c>
      <c r="G348" s="20" t="str">
        <f>IF(Summary!O349&lt;&gt;"",Summary!O349,"")</f>
        <v/>
      </c>
    </row>
    <row r="349" spans="1:7">
      <c r="A349" s="39" t="str">
        <f>IF(Summary!A350&lt;&gt;"",Summary!A350,"")</f>
        <v/>
      </c>
      <c r="B349" s="21" t="str">
        <f>IF(Summary!J350&lt;&gt;"",Summary!J350,"")</f>
        <v/>
      </c>
      <c r="C349" s="44" t="str">
        <f>IF(Summary!E350+Summary!H350&gt;0,Summary!E350+Summary!H350,"")</f>
        <v/>
      </c>
      <c r="D349" s="40" t="str">
        <f>IF(Summary!L350&lt;&gt;"",Summary!L350,"")</f>
        <v/>
      </c>
      <c r="E349" s="40" t="str">
        <f>IF(Summary!M350&lt;&gt;"",Summary!M350,"")</f>
        <v/>
      </c>
      <c r="F349" s="20" t="str">
        <f>IF(Summary!N350&lt;&gt;"",Summary!N350,"")</f>
        <v/>
      </c>
      <c r="G349" s="20" t="str">
        <f>IF(Summary!O350&lt;&gt;"",Summary!O350,"")</f>
        <v/>
      </c>
    </row>
    <row r="350" spans="1:7">
      <c r="A350" s="39" t="str">
        <f>IF(Summary!A351&lt;&gt;"",Summary!A351,"")</f>
        <v/>
      </c>
      <c r="B350" s="21" t="str">
        <f>IF(Summary!J351&lt;&gt;"",Summary!J351,"")</f>
        <v/>
      </c>
      <c r="C350" s="44" t="str">
        <f>IF(Summary!E351+Summary!H351&gt;0,Summary!E351+Summary!H351,"")</f>
        <v/>
      </c>
      <c r="D350" s="40" t="str">
        <f>IF(Summary!L351&lt;&gt;"",Summary!L351,"")</f>
        <v/>
      </c>
      <c r="E350" s="40" t="str">
        <f>IF(Summary!M351&lt;&gt;"",Summary!M351,"")</f>
        <v/>
      </c>
      <c r="F350" s="20" t="str">
        <f>IF(Summary!N351&lt;&gt;"",Summary!N351,"")</f>
        <v/>
      </c>
      <c r="G350" s="20" t="str">
        <f>IF(Summary!O351&lt;&gt;"",Summary!O351,"")</f>
        <v/>
      </c>
    </row>
    <row r="351" spans="1:7">
      <c r="A351" s="39" t="str">
        <f>IF(Summary!A352&lt;&gt;"",Summary!A352,"")</f>
        <v/>
      </c>
      <c r="B351" s="21" t="str">
        <f>IF(Summary!J352&lt;&gt;"",Summary!J352,"")</f>
        <v/>
      </c>
      <c r="C351" s="44" t="str">
        <f>IF(Summary!E352+Summary!H352&gt;0,Summary!E352+Summary!H352,"")</f>
        <v/>
      </c>
      <c r="D351" s="40" t="str">
        <f>IF(Summary!L352&lt;&gt;"",Summary!L352,"")</f>
        <v/>
      </c>
      <c r="E351" s="40" t="str">
        <f>IF(Summary!M352&lt;&gt;"",Summary!M352,"")</f>
        <v/>
      </c>
      <c r="F351" s="20" t="str">
        <f>IF(Summary!N352&lt;&gt;"",Summary!N352,"")</f>
        <v/>
      </c>
      <c r="G351" s="20" t="str">
        <f>IF(Summary!O352&lt;&gt;"",Summary!O352,"")</f>
        <v/>
      </c>
    </row>
    <row r="352" spans="1:7">
      <c r="A352" s="39" t="str">
        <f>IF(Summary!A353&lt;&gt;"",Summary!A353,"")</f>
        <v/>
      </c>
      <c r="B352" s="21" t="str">
        <f>IF(Summary!J353&lt;&gt;"",Summary!J353,"")</f>
        <v/>
      </c>
      <c r="C352" s="44" t="str">
        <f>IF(Summary!E353+Summary!H353&gt;0,Summary!E353+Summary!H353,"")</f>
        <v/>
      </c>
      <c r="D352" s="40" t="str">
        <f>IF(Summary!L353&lt;&gt;"",Summary!L353,"")</f>
        <v/>
      </c>
      <c r="E352" s="40" t="str">
        <f>IF(Summary!M353&lt;&gt;"",Summary!M353,"")</f>
        <v/>
      </c>
      <c r="F352" s="20" t="str">
        <f>IF(Summary!N353&lt;&gt;"",Summary!N353,"")</f>
        <v/>
      </c>
      <c r="G352" s="20" t="str">
        <f>IF(Summary!O353&lt;&gt;"",Summary!O353,"")</f>
        <v/>
      </c>
    </row>
    <row r="353" spans="1:7">
      <c r="A353" s="39" t="str">
        <f>IF(Summary!A354&lt;&gt;"",Summary!A354,"")</f>
        <v/>
      </c>
      <c r="B353" s="21" t="str">
        <f>IF(Summary!J354&lt;&gt;"",Summary!J354,"")</f>
        <v/>
      </c>
      <c r="C353" s="44" t="str">
        <f>IF(Summary!E354+Summary!H354&gt;0,Summary!E354+Summary!H354,"")</f>
        <v/>
      </c>
      <c r="D353" s="40" t="str">
        <f>IF(Summary!L354&lt;&gt;"",Summary!L354,"")</f>
        <v/>
      </c>
      <c r="E353" s="40" t="str">
        <f>IF(Summary!M354&lt;&gt;"",Summary!M354,"")</f>
        <v/>
      </c>
      <c r="F353" s="20" t="str">
        <f>IF(Summary!N354&lt;&gt;"",Summary!N354,"")</f>
        <v/>
      </c>
      <c r="G353" s="20" t="str">
        <f>IF(Summary!O354&lt;&gt;"",Summary!O354,"")</f>
        <v/>
      </c>
    </row>
    <row r="354" spans="1:7">
      <c r="A354" s="39" t="str">
        <f>IF(Summary!A355&lt;&gt;"",Summary!A355,"")</f>
        <v/>
      </c>
      <c r="B354" s="21" t="str">
        <f>IF(Summary!J355&lt;&gt;"",Summary!J355,"")</f>
        <v/>
      </c>
      <c r="C354" s="44" t="str">
        <f>IF(Summary!E355+Summary!H355&gt;0,Summary!E355+Summary!H355,"")</f>
        <v/>
      </c>
      <c r="D354" s="40" t="str">
        <f>IF(Summary!L355&lt;&gt;"",Summary!L355,"")</f>
        <v/>
      </c>
      <c r="E354" s="40" t="str">
        <f>IF(Summary!M355&lt;&gt;"",Summary!M355,"")</f>
        <v/>
      </c>
      <c r="F354" s="20" t="str">
        <f>IF(Summary!N355&lt;&gt;"",Summary!N355,"")</f>
        <v/>
      </c>
      <c r="G354" s="20" t="str">
        <f>IF(Summary!O355&lt;&gt;"",Summary!O355,"")</f>
        <v/>
      </c>
    </row>
    <row r="355" spans="1:7">
      <c r="A355" s="39" t="str">
        <f>IF(Summary!A356&lt;&gt;"",Summary!A356,"")</f>
        <v/>
      </c>
      <c r="B355" s="21" t="str">
        <f>IF(Summary!J356&lt;&gt;"",Summary!J356,"")</f>
        <v/>
      </c>
      <c r="C355" s="44" t="str">
        <f>IF(Summary!E356+Summary!H356&gt;0,Summary!E356+Summary!H356,"")</f>
        <v/>
      </c>
      <c r="D355" s="40" t="str">
        <f>IF(Summary!L356&lt;&gt;"",Summary!L356,"")</f>
        <v/>
      </c>
      <c r="E355" s="40" t="str">
        <f>IF(Summary!M356&lt;&gt;"",Summary!M356,"")</f>
        <v/>
      </c>
      <c r="F355" s="20" t="str">
        <f>IF(Summary!N356&lt;&gt;"",Summary!N356,"")</f>
        <v/>
      </c>
      <c r="G355" s="20" t="str">
        <f>IF(Summary!O356&lt;&gt;"",Summary!O356,"")</f>
        <v/>
      </c>
    </row>
    <row r="356" spans="1:7">
      <c r="A356" s="39" t="str">
        <f>IF(Summary!A357&lt;&gt;"",Summary!A357,"")</f>
        <v/>
      </c>
      <c r="B356" s="21" t="str">
        <f>IF(Summary!J357&lt;&gt;"",Summary!J357,"")</f>
        <v/>
      </c>
      <c r="C356" s="44" t="str">
        <f>IF(Summary!E357+Summary!H357&gt;0,Summary!E357+Summary!H357,"")</f>
        <v/>
      </c>
      <c r="D356" s="40" t="str">
        <f>IF(Summary!L357&lt;&gt;"",Summary!L357,"")</f>
        <v/>
      </c>
      <c r="E356" s="40" t="str">
        <f>IF(Summary!M357&lt;&gt;"",Summary!M357,"")</f>
        <v/>
      </c>
      <c r="F356" s="20" t="str">
        <f>IF(Summary!N357&lt;&gt;"",Summary!N357,"")</f>
        <v/>
      </c>
      <c r="G356" s="20" t="str">
        <f>IF(Summary!O357&lt;&gt;"",Summary!O357,"")</f>
        <v/>
      </c>
    </row>
    <row r="357" spans="1:7">
      <c r="A357" s="39" t="str">
        <f>IF(Summary!A358&lt;&gt;"",Summary!A358,"")</f>
        <v/>
      </c>
      <c r="B357" s="21" t="str">
        <f>IF(Summary!J358&lt;&gt;"",Summary!J358,"")</f>
        <v/>
      </c>
      <c r="C357" s="44" t="str">
        <f>IF(Summary!E358+Summary!H358&gt;0,Summary!E358+Summary!H358,"")</f>
        <v/>
      </c>
      <c r="D357" s="40" t="str">
        <f>IF(Summary!L358&lt;&gt;"",Summary!L358,"")</f>
        <v/>
      </c>
      <c r="E357" s="40" t="str">
        <f>IF(Summary!M358&lt;&gt;"",Summary!M358,"")</f>
        <v/>
      </c>
      <c r="F357" s="20" t="str">
        <f>IF(Summary!N358&lt;&gt;"",Summary!N358,"")</f>
        <v/>
      </c>
      <c r="G357" s="20" t="str">
        <f>IF(Summary!O358&lt;&gt;"",Summary!O358,"")</f>
        <v/>
      </c>
    </row>
    <row r="358" spans="1:7">
      <c r="A358" s="39" t="str">
        <f>IF(Summary!A359&lt;&gt;"",Summary!A359,"")</f>
        <v/>
      </c>
      <c r="B358" s="21" t="str">
        <f>IF(Summary!J359&lt;&gt;"",Summary!J359,"")</f>
        <v/>
      </c>
      <c r="C358" s="44" t="str">
        <f>IF(Summary!E359+Summary!H359&gt;0,Summary!E359+Summary!H359,"")</f>
        <v/>
      </c>
      <c r="D358" s="40" t="str">
        <f>IF(Summary!L359&lt;&gt;"",Summary!L359,"")</f>
        <v/>
      </c>
      <c r="E358" s="40" t="str">
        <f>IF(Summary!M359&lt;&gt;"",Summary!M359,"")</f>
        <v/>
      </c>
      <c r="F358" s="20" t="str">
        <f>IF(Summary!N359&lt;&gt;"",Summary!N359,"")</f>
        <v/>
      </c>
      <c r="G358" s="20" t="str">
        <f>IF(Summary!O359&lt;&gt;"",Summary!O359,"")</f>
        <v/>
      </c>
    </row>
    <row r="359" spans="1:7">
      <c r="A359" s="39" t="str">
        <f>IF(Summary!A360&lt;&gt;"",Summary!A360,"")</f>
        <v/>
      </c>
      <c r="B359" s="21" t="str">
        <f>IF(Summary!J360&lt;&gt;"",Summary!J360,"")</f>
        <v/>
      </c>
      <c r="C359" s="44" t="str">
        <f>IF(Summary!E360+Summary!H360&gt;0,Summary!E360+Summary!H360,"")</f>
        <v/>
      </c>
      <c r="D359" s="40" t="str">
        <f>IF(Summary!L360&lt;&gt;"",Summary!L360,"")</f>
        <v/>
      </c>
      <c r="E359" s="40" t="str">
        <f>IF(Summary!M360&lt;&gt;"",Summary!M360,"")</f>
        <v/>
      </c>
      <c r="F359" s="20" t="str">
        <f>IF(Summary!N360&lt;&gt;"",Summary!N360,"")</f>
        <v/>
      </c>
      <c r="G359" s="20" t="str">
        <f>IF(Summary!O360&lt;&gt;"",Summary!O360,"")</f>
        <v/>
      </c>
    </row>
    <row r="360" spans="1:7">
      <c r="A360" s="39" t="str">
        <f>IF(Summary!A361&lt;&gt;"",Summary!A361,"")</f>
        <v/>
      </c>
      <c r="B360" s="21" t="str">
        <f>IF(Summary!J361&lt;&gt;"",Summary!J361,"")</f>
        <v/>
      </c>
      <c r="C360" s="44" t="str">
        <f>IF(Summary!E361+Summary!H361&gt;0,Summary!E361+Summary!H361,"")</f>
        <v/>
      </c>
      <c r="D360" s="40" t="str">
        <f>IF(Summary!L361&lt;&gt;"",Summary!L361,"")</f>
        <v/>
      </c>
      <c r="E360" s="40" t="str">
        <f>IF(Summary!M361&lt;&gt;"",Summary!M361,"")</f>
        <v/>
      </c>
      <c r="F360" s="20" t="str">
        <f>IF(Summary!N361&lt;&gt;"",Summary!N361,"")</f>
        <v/>
      </c>
      <c r="G360" s="20" t="str">
        <f>IF(Summary!O361&lt;&gt;"",Summary!O361,"")</f>
        <v/>
      </c>
    </row>
    <row r="361" spans="1:7">
      <c r="A361" s="39" t="str">
        <f>IF(Summary!A362&lt;&gt;"",Summary!A362,"")</f>
        <v/>
      </c>
      <c r="B361" s="21" t="str">
        <f>IF(Summary!J362&lt;&gt;"",Summary!J362,"")</f>
        <v/>
      </c>
      <c r="C361" s="44" t="str">
        <f>IF(Summary!E362+Summary!H362&gt;0,Summary!E362+Summary!H362,"")</f>
        <v/>
      </c>
      <c r="D361" s="40" t="str">
        <f>IF(Summary!L362&lt;&gt;"",Summary!L362,"")</f>
        <v/>
      </c>
      <c r="E361" s="40" t="str">
        <f>IF(Summary!M362&lt;&gt;"",Summary!M362,"")</f>
        <v/>
      </c>
      <c r="F361" s="20" t="str">
        <f>IF(Summary!N362&lt;&gt;"",Summary!N362,"")</f>
        <v/>
      </c>
      <c r="G361" s="20" t="str">
        <f>IF(Summary!O362&lt;&gt;"",Summary!O362,"")</f>
        <v/>
      </c>
    </row>
    <row r="362" spans="1:7">
      <c r="A362" s="39" t="str">
        <f>IF(Summary!A363&lt;&gt;"",Summary!A363,"")</f>
        <v/>
      </c>
      <c r="B362" s="21" t="str">
        <f>IF(Summary!J363&lt;&gt;"",Summary!J363,"")</f>
        <v/>
      </c>
      <c r="C362" s="44" t="str">
        <f>IF(Summary!E363+Summary!H363&gt;0,Summary!E363+Summary!H363,"")</f>
        <v/>
      </c>
      <c r="D362" s="40" t="str">
        <f>IF(Summary!L363&lt;&gt;"",Summary!L363,"")</f>
        <v/>
      </c>
      <c r="E362" s="40" t="str">
        <f>IF(Summary!M363&lt;&gt;"",Summary!M363,"")</f>
        <v/>
      </c>
      <c r="F362" s="20" t="str">
        <f>IF(Summary!N363&lt;&gt;"",Summary!N363,"")</f>
        <v/>
      </c>
      <c r="G362" s="20" t="str">
        <f>IF(Summary!O363&lt;&gt;"",Summary!O363,"")</f>
        <v/>
      </c>
    </row>
    <row r="363" spans="1:7">
      <c r="A363" s="39" t="str">
        <f>IF(Summary!A364&lt;&gt;"",Summary!A364,"")</f>
        <v/>
      </c>
      <c r="B363" s="21" t="str">
        <f>IF(Summary!J364&lt;&gt;"",Summary!J364,"")</f>
        <v/>
      </c>
      <c r="C363" s="44" t="str">
        <f>IF(Summary!E364+Summary!H364&gt;0,Summary!E364+Summary!H364,"")</f>
        <v/>
      </c>
      <c r="D363" s="40" t="str">
        <f>IF(Summary!L364&lt;&gt;"",Summary!L364,"")</f>
        <v/>
      </c>
      <c r="E363" s="40" t="str">
        <f>IF(Summary!M364&lt;&gt;"",Summary!M364,"")</f>
        <v/>
      </c>
      <c r="F363" s="20" t="str">
        <f>IF(Summary!N364&lt;&gt;"",Summary!N364,"")</f>
        <v/>
      </c>
      <c r="G363" s="20" t="str">
        <f>IF(Summary!O364&lt;&gt;"",Summary!O364,"")</f>
        <v/>
      </c>
    </row>
    <row r="364" spans="1:7">
      <c r="A364" s="39" t="str">
        <f>IF(Summary!A365&lt;&gt;"",Summary!A365,"")</f>
        <v/>
      </c>
      <c r="B364" s="21" t="str">
        <f>IF(Summary!J365&lt;&gt;"",Summary!J365,"")</f>
        <v/>
      </c>
      <c r="C364" s="44" t="str">
        <f>IF(Summary!E365+Summary!H365&gt;0,Summary!E365+Summary!H365,"")</f>
        <v/>
      </c>
      <c r="D364" s="40" t="str">
        <f>IF(Summary!L365&lt;&gt;"",Summary!L365,"")</f>
        <v/>
      </c>
      <c r="E364" s="40" t="str">
        <f>IF(Summary!M365&lt;&gt;"",Summary!M365,"")</f>
        <v/>
      </c>
      <c r="F364" s="20" t="str">
        <f>IF(Summary!N365&lt;&gt;"",Summary!N365,"")</f>
        <v/>
      </c>
      <c r="G364" s="20" t="str">
        <f>IF(Summary!O365&lt;&gt;"",Summary!O365,"")</f>
        <v/>
      </c>
    </row>
    <row r="365" spans="1:7">
      <c r="A365" s="39" t="str">
        <f>IF(Summary!A366&lt;&gt;"",Summary!A366,"")</f>
        <v/>
      </c>
      <c r="B365" s="21" t="str">
        <f>IF(Summary!J366&lt;&gt;"",Summary!J366,"")</f>
        <v/>
      </c>
      <c r="C365" s="44" t="str">
        <f>IF(Summary!E366+Summary!H366&gt;0,Summary!E366+Summary!H366,"")</f>
        <v/>
      </c>
      <c r="D365" s="40" t="str">
        <f>IF(Summary!L366&lt;&gt;"",Summary!L366,"")</f>
        <v/>
      </c>
      <c r="E365" s="40" t="str">
        <f>IF(Summary!M366&lt;&gt;"",Summary!M366,"")</f>
        <v/>
      </c>
      <c r="F365" s="20" t="str">
        <f>IF(Summary!N366&lt;&gt;"",Summary!N366,"")</f>
        <v/>
      </c>
      <c r="G365" s="20" t="str">
        <f>IF(Summary!O366&lt;&gt;"",Summary!O366,"")</f>
        <v/>
      </c>
    </row>
    <row r="366" spans="1:7">
      <c r="A366" s="39" t="str">
        <f>IF(Summary!A367&lt;&gt;"",Summary!A367,"")</f>
        <v/>
      </c>
      <c r="B366" s="21" t="str">
        <f>IF(Summary!J367&lt;&gt;"",Summary!J367,"")</f>
        <v/>
      </c>
      <c r="C366" s="44" t="str">
        <f>IF(Summary!E367+Summary!H367&gt;0,Summary!E367+Summary!H367,"")</f>
        <v/>
      </c>
      <c r="D366" s="40" t="str">
        <f>IF(Summary!L367&lt;&gt;"",Summary!L367,"")</f>
        <v/>
      </c>
      <c r="E366" s="40" t="str">
        <f>IF(Summary!M367&lt;&gt;"",Summary!M367,"")</f>
        <v/>
      </c>
      <c r="F366" s="20" t="str">
        <f>IF(Summary!N367&lt;&gt;"",Summary!N367,"")</f>
        <v/>
      </c>
      <c r="G366" s="20" t="str">
        <f>IF(Summary!O367&lt;&gt;"",Summary!O367,"")</f>
        <v/>
      </c>
    </row>
    <row r="367" spans="1:7">
      <c r="A367" s="39" t="str">
        <f>IF(Summary!A368&lt;&gt;"",Summary!A368,"")</f>
        <v/>
      </c>
      <c r="B367" s="21" t="str">
        <f>IF(Summary!J368&lt;&gt;"",Summary!J368,"")</f>
        <v/>
      </c>
      <c r="C367" s="44" t="str">
        <f>IF(Summary!E368+Summary!H368&gt;0,Summary!E368+Summary!H368,"")</f>
        <v/>
      </c>
      <c r="D367" s="40" t="str">
        <f>IF(Summary!L368&lt;&gt;"",Summary!L368,"")</f>
        <v/>
      </c>
      <c r="E367" s="40" t="str">
        <f>IF(Summary!M368&lt;&gt;"",Summary!M368,"")</f>
        <v/>
      </c>
      <c r="F367" s="20" t="str">
        <f>IF(Summary!N368&lt;&gt;"",Summary!N368,"")</f>
        <v/>
      </c>
      <c r="G367" s="20" t="str">
        <f>IF(Summary!O368&lt;&gt;"",Summary!O368,"")</f>
        <v/>
      </c>
    </row>
    <row r="368" spans="1:7">
      <c r="A368" s="39" t="str">
        <f>IF(Summary!A369&lt;&gt;"",Summary!A369,"")</f>
        <v/>
      </c>
      <c r="B368" s="21" t="str">
        <f>IF(Summary!J369&lt;&gt;"",Summary!J369,"")</f>
        <v/>
      </c>
      <c r="C368" s="44" t="str">
        <f>IF(Summary!E369+Summary!H369&gt;0,Summary!E369+Summary!H369,"")</f>
        <v/>
      </c>
      <c r="D368" s="40" t="str">
        <f>IF(Summary!L369&lt;&gt;"",Summary!L369,"")</f>
        <v/>
      </c>
      <c r="E368" s="40" t="str">
        <f>IF(Summary!M369&lt;&gt;"",Summary!M369,"")</f>
        <v/>
      </c>
      <c r="F368" s="20" t="str">
        <f>IF(Summary!N369&lt;&gt;"",Summary!N369,"")</f>
        <v/>
      </c>
      <c r="G368" s="20" t="str">
        <f>IF(Summary!O369&lt;&gt;"",Summary!O369,"")</f>
        <v/>
      </c>
    </row>
    <row r="369" spans="1:7">
      <c r="A369" s="39" t="str">
        <f>IF(Summary!A370&lt;&gt;"",Summary!A370,"")</f>
        <v/>
      </c>
      <c r="B369" s="21" t="str">
        <f>IF(Summary!J370&lt;&gt;"",Summary!J370,"")</f>
        <v/>
      </c>
      <c r="C369" s="44" t="str">
        <f>IF(Summary!E370+Summary!H370&gt;0,Summary!E370+Summary!H370,"")</f>
        <v/>
      </c>
      <c r="D369" s="40" t="str">
        <f>IF(Summary!L370&lt;&gt;"",Summary!L370,"")</f>
        <v/>
      </c>
      <c r="E369" s="40" t="str">
        <f>IF(Summary!M370&lt;&gt;"",Summary!M370,"")</f>
        <v/>
      </c>
      <c r="F369" s="20" t="str">
        <f>IF(Summary!N370&lt;&gt;"",Summary!N370,"")</f>
        <v/>
      </c>
      <c r="G369" s="20" t="str">
        <f>IF(Summary!O370&lt;&gt;"",Summary!O370,"")</f>
        <v/>
      </c>
    </row>
    <row r="370" spans="1:7">
      <c r="A370" s="39" t="str">
        <f>IF(Summary!A371&lt;&gt;"",Summary!A371,"")</f>
        <v/>
      </c>
      <c r="B370" s="21" t="str">
        <f>IF(Summary!J371&lt;&gt;"",Summary!J371,"")</f>
        <v/>
      </c>
      <c r="C370" s="44" t="str">
        <f>IF(Summary!E371+Summary!H371&gt;0,Summary!E371+Summary!H371,"")</f>
        <v/>
      </c>
      <c r="D370" s="40" t="str">
        <f>IF(Summary!L371&lt;&gt;"",Summary!L371,"")</f>
        <v/>
      </c>
      <c r="E370" s="40" t="str">
        <f>IF(Summary!M371&lt;&gt;"",Summary!M371,"")</f>
        <v/>
      </c>
      <c r="F370" s="20" t="str">
        <f>IF(Summary!N371&lt;&gt;"",Summary!N371,"")</f>
        <v/>
      </c>
      <c r="G370" s="20" t="str">
        <f>IF(Summary!O371&lt;&gt;"",Summary!O371,"")</f>
        <v/>
      </c>
    </row>
    <row r="371" spans="1:7">
      <c r="A371" s="39" t="str">
        <f>IF(Summary!A372&lt;&gt;"",Summary!A372,"")</f>
        <v/>
      </c>
      <c r="B371" s="21" t="str">
        <f>IF(Summary!J372&lt;&gt;"",Summary!J372,"")</f>
        <v/>
      </c>
      <c r="C371" s="44" t="str">
        <f>IF(Summary!E372+Summary!H372&gt;0,Summary!E372+Summary!H372,"")</f>
        <v/>
      </c>
      <c r="D371" s="40" t="str">
        <f>IF(Summary!L372&lt;&gt;"",Summary!L372,"")</f>
        <v/>
      </c>
      <c r="E371" s="40" t="str">
        <f>IF(Summary!M372&lt;&gt;"",Summary!M372,"")</f>
        <v/>
      </c>
      <c r="F371" s="20" t="str">
        <f>IF(Summary!N372&lt;&gt;"",Summary!N372,"")</f>
        <v/>
      </c>
      <c r="G371" s="20" t="str">
        <f>IF(Summary!O372&lt;&gt;"",Summary!O372,"")</f>
        <v/>
      </c>
    </row>
    <row r="372" spans="1:7">
      <c r="A372" s="39" t="str">
        <f>IF(Summary!A373&lt;&gt;"",Summary!A373,"")</f>
        <v/>
      </c>
      <c r="B372" s="21" t="str">
        <f>IF(Summary!J373&lt;&gt;"",Summary!J373,"")</f>
        <v/>
      </c>
      <c r="C372" s="44" t="str">
        <f>IF(Summary!E373+Summary!H373&gt;0,Summary!E373+Summary!H373,"")</f>
        <v/>
      </c>
      <c r="D372" s="40" t="str">
        <f>IF(Summary!L373&lt;&gt;"",Summary!L373,"")</f>
        <v/>
      </c>
      <c r="E372" s="40" t="str">
        <f>IF(Summary!M373&lt;&gt;"",Summary!M373,"")</f>
        <v/>
      </c>
      <c r="F372" s="20" t="str">
        <f>IF(Summary!N373&lt;&gt;"",Summary!N373,"")</f>
        <v/>
      </c>
      <c r="G372" s="20" t="str">
        <f>IF(Summary!O373&lt;&gt;"",Summary!O373,"")</f>
        <v/>
      </c>
    </row>
    <row r="373" spans="1:7">
      <c r="A373" s="39" t="str">
        <f>IF(Summary!A374&lt;&gt;"",Summary!A374,"")</f>
        <v/>
      </c>
      <c r="B373" s="21" t="str">
        <f>IF(Summary!J374&lt;&gt;"",Summary!J374,"")</f>
        <v/>
      </c>
      <c r="C373" s="44" t="str">
        <f>IF(Summary!E374+Summary!H374&gt;0,Summary!E374+Summary!H374,"")</f>
        <v/>
      </c>
      <c r="D373" s="40" t="str">
        <f>IF(Summary!L374&lt;&gt;"",Summary!L374,"")</f>
        <v/>
      </c>
      <c r="E373" s="40" t="str">
        <f>IF(Summary!M374&lt;&gt;"",Summary!M374,"")</f>
        <v/>
      </c>
      <c r="F373" s="20" t="str">
        <f>IF(Summary!N374&lt;&gt;"",Summary!N374,"")</f>
        <v/>
      </c>
      <c r="G373" s="20" t="str">
        <f>IF(Summary!O374&lt;&gt;"",Summary!O374,"")</f>
        <v/>
      </c>
    </row>
    <row r="374" spans="1:7">
      <c r="A374" s="39" t="str">
        <f>IF(Summary!A375&lt;&gt;"",Summary!A375,"")</f>
        <v/>
      </c>
      <c r="B374" s="21" t="str">
        <f>IF(Summary!J375&lt;&gt;"",Summary!J375,"")</f>
        <v/>
      </c>
      <c r="C374" s="44" t="str">
        <f>IF(Summary!E375+Summary!H375&gt;0,Summary!E375+Summary!H375,"")</f>
        <v/>
      </c>
      <c r="D374" s="40" t="str">
        <f>IF(Summary!L375&lt;&gt;"",Summary!L375,"")</f>
        <v/>
      </c>
      <c r="E374" s="40" t="str">
        <f>IF(Summary!M375&lt;&gt;"",Summary!M375,"")</f>
        <v/>
      </c>
      <c r="F374" s="20" t="str">
        <f>IF(Summary!N375&lt;&gt;"",Summary!N375,"")</f>
        <v/>
      </c>
      <c r="G374" s="20" t="str">
        <f>IF(Summary!O375&lt;&gt;"",Summary!O375,"")</f>
        <v/>
      </c>
    </row>
    <row r="375" spans="1:7">
      <c r="A375" s="39" t="str">
        <f>IF(Summary!A376&lt;&gt;"",Summary!A376,"")</f>
        <v/>
      </c>
      <c r="B375" s="21" t="str">
        <f>IF(Summary!J376&lt;&gt;"",Summary!J376,"")</f>
        <v/>
      </c>
      <c r="C375" s="44" t="str">
        <f>IF(Summary!E376+Summary!H376&gt;0,Summary!E376+Summary!H376,"")</f>
        <v/>
      </c>
      <c r="D375" s="40" t="str">
        <f>IF(Summary!L376&lt;&gt;"",Summary!L376,"")</f>
        <v/>
      </c>
      <c r="E375" s="40" t="str">
        <f>IF(Summary!M376&lt;&gt;"",Summary!M376,"")</f>
        <v/>
      </c>
      <c r="F375" s="20" t="str">
        <f>IF(Summary!N376&lt;&gt;"",Summary!N376,"")</f>
        <v/>
      </c>
      <c r="G375" s="20" t="str">
        <f>IF(Summary!O376&lt;&gt;"",Summary!O376,"")</f>
        <v/>
      </c>
    </row>
    <row r="376" spans="1:7">
      <c r="A376" s="39" t="str">
        <f>IF(Summary!A377&lt;&gt;"",Summary!A377,"")</f>
        <v/>
      </c>
      <c r="B376" s="21" t="str">
        <f>IF(Summary!J377&lt;&gt;"",Summary!J377,"")</f>
        <v/>
      </c>
      <c r="C376" s="44" t="str">
        <f>IF(Summary!E377+Summary!H377&gt;0,Summary!E377+Summary!H377,"")</f>
        <v/>
      </c>
      <c r="D376" s="40" t="str">
        <f>IF(Summary!L377&lt;&gt;"",Summary!L377,"")</f>
        <v/>
      </c>
      <c r="E376" s="40" t="str">
        <f>IF(Summary!M377&lt;&gt;"",Summary!M377,"")</f>
        <v/>
      </c>
      <c r="F376" s="20" t="str">
        <f>IF(Summary!N377&lt;&gt;"",Summary!N377,"")</f>
        <v/>
      </c>
      <c r="G376" s="20" t="str">
        <f>IF(Summary!O377&lt;&gt;"",Summary!O377,"")</f>
        <v/>
      </c>
    </row>
    <row r="377" spans="1:7">
      <c r="A377" s="39" t="str">
        <f>IF(Summary!A378&lt;&gt;"",Summary!A378,"")</f>
        <v/>
      </c>
      <c r="B377" s="21" t="str">
        <f>IF(Summary!J378&lt;&gt;"",Summary!J378,"")</f>
        <v/>
      </c>
      <c r="C377" s="44" t="str">
        <f>IF(Summary!E378+Summary!H378&gt;0,Summary!E378+Summary!H378,"")</f>
        <v/>
      </c>
      <c r="D377" s="40" t="str">
        <f>IF(Summary!L378&lt;&gt;"",Summary!L378,"")</f>
        <v/>
      </c>
      <c r="E377" s="40" t="str">
        <f>IF(Summary!M378&lt;&gt;"",Summary!M378,"")</f>
        <v/>
      </c>
      <c r="F377" s="20" t="str">
        <f>IF(Summary!N378&lt;&gt;"",Summary!N378,"")</f>
        <v/>
      </c>
      <c r="G377" s="20" t="str">
        <f>IF(Summary!O378&lt;&gt;"",Summary!O378,"")</f>
        <v/>
      </c>
    </row>
    <row r="378" spans="1:7">
      <c r="A378" s="39" t="str">
        <f>IF(Summary!A379&lt;&gt;"",Summary!A379,"")</f>
        <v/>
      </c>
      <c r="B378" s="21" t="str">
        <f>IF(Summary!J379&lt;&gt;"",Summary!J379,"")</f>
        <v/>
      </c>
      <c r="C378" s="44" t="str">
        <f>IF(Summary!E379+Summary!H379&gt;0,Summary!E379+Summary!H379,"")</f>
        <v/>
      </c>
      <c r="D378" s="40" t="str">
        <f>IF(Summary!L379&lt;&gt;"",Summary!L379,"")</f>
        <v/>
      </c>
      <c r="E378" s="40" t="str">
        <f>IF(Summary!M379&lt;&gt;"",Summary!M379,"")</f>
        <v/>
      </c>
      <c r="F378" s="20" t="str">
        <f>IF(Summary!N379&lt;&gt;"",Summary!N379,"")</f>
        <v/>
      </c>
      <c r="G378" s="20" t="str">
        <f>IF(Summary!O379&lt;&gt;"",Summary!O379,"")</f>
        <v/>
      </c>
    </row>
    <row r="379" spans="1:7">
      <c r="A379" s="39" t="str">
        <f>IF(Summary!A380&lt;&gt;"",Summary!A380,"")</f>
        <v/>
      </c>
      <c r="B379" s="21" t="str">
        <f>IF(Summary!J380&lt;&gt;"",Summary!J380,"")</f>
        <v/>
      </c>
      <c r="C379" s="44" t="str">
        <f>IF(Summary!E380+Summary!H380&gt;0,Summary!E380+Summary!H380,"")</f>
        <v/>
      </c>
      <c r="D379" s="40" t="str">
        <f>IF(Summary!L380&lt;&gt;"",Summary!L380,"")</f>
        <v/>
      </c>
      <c r="E379" s="40" t="str">
        <f>IF(Summary!M380&lt;&gt;"",Summary!M380,"")</f>
        <v/>
      </c>
      <c r="F379" s="20" t="str">
        <f>IF(Summary!N380&lt;&gt;"",Summary!N380,"")</f>
        <v/>
      </c>
      <c r="G379" s="20" t="str">
        <f>IF(Summary!O380&lt;&gt;"",Summary!O380,"")</f>
        <v/>
      </c>
    </row>
    <row r="380" spans="1:7">
      <c r="A380" s="39" t="str">
        <f>IF(Summary!A381&lt;&gt;"",Summary!A381,"")</f>
        <v/>
      </c>
      <c r="B380" s="21" t="str">
        <f>IF(Summary!J381&lt;&gt;"",Summary!J381,"")</f>
        <v/>
      </c>
      <c r="C380" s="44" t="str">
        <f>IF(Summary!E381+Summary!H381&gt;0,Summary!E381+Summary!H381,"")</f>
        <v/>
      </c>
      <c r="D380" s="40" t="str">
        <f>IF(Summary!L381&lt;&gt;"",Summary!L381,"")</f>
        <v/>
      </c>
      <c r="E380" s="40" t="str">
        <f>IF(Summary!M381&lt;&gt;"",Summary!M381,"")</f>
        <v/>
      </c>
      <c r="F380" s="20" t="str">
        <f>IF(Summary!N381&lt;&gt;"",Summary!N381,"")</f>
        <v/>
      </c>
      <c r="G380" s="20" t="str">
        <f>IF(Summary!O381&lt;&gt;"",Summary!O381,"")</f>
        <v/>
      </c>
    </row>
    <row r="381" spans="1:7">
      <c r="A381" s="39" t="str">
        <f>IF(Summary!A382&lt;&gt;"",Summary!A382,"")</f>
        <v/>
      </c>
      <c r="B381" s="21" t="str">
        <f>IF(Summary!J382&lt;&gt;"",Summary!J382,"")</f>
        <v/>
      </c>
      <c r="C381" s="44" t="str">
        <f>IF(Summary!E382+Summary!H382&gt;0,Summary!E382+Summary!H382,"")</f>
        <v/>
      </c>
      <c r="D381" s="40" t="str">
        <f>IF(Summary!L382&lt;&gt;"",Summary!L382,"")</f>
        <v/>
      </c>
      <c r="E381" s="40" t="str">
        <f>IF(Summary!M382&lt;&gt;"",Summary!M382,"")</f>
        <v/>
      </c>
      <c r="F381" s="20" t="str">
        <f>IF(Summary!N382&lt;&gt;"",Summary!N382,"")</f>
        <v/>
      </c>
      <c r="G381" s="20" t="str">
        <f>IF(Summary!O382&lt;&gt;"",Summary!O382,"")</f>
        <v/>
      </c>
    </row>
    <row r="382" spans="1:7">
      <c r="A382" s="39" t="str">
        <f>IF(Summary!A383&lt;&gt;"",Summary!A383,"")</f>
        <v/>
      </c>
      <c r="B382" s="21" t="str">
        <f>IF(Summary!J383&lt;&gt;"",Summary!J383,"")</f>
        <v/>
      </c>
      <c r="C382" s="44" t="str">
        <f>IF(Summary!E383+Summary!H383&gt;0,Summary!E383+Summary!H383,"")</f>
        <v/>
      </c>
      <c r="D382" s="40" t="str">
        <f>IF(Summary!L383&lt;&gt;"",Summary!L383,"")</f>
        <v/>
      </c>
      <c r="E382" s="40" t="str">
        <f>IF(Summary!M383&lt;&gt;"",Summary!M383,"")</f>
        <v/>
      </c>
      <c r="F382" s="20" t="str">
        <f>IF(Summary!N383&lt;&gt;"",Summary!N383,"")</f>
        <v/>
      </c>
      <c r="G382" s="20" t="str">
        <f>IF(Summary!O383&lt;&gt;"",Summary!O383,"")</f>
        <v/>
      </c>
    </row>
    <row r="383" spans="1:7">
      <c r="A383" s="39" t="str">
        <f>IF(Summary!A384&lt;&gt;"",Summary!A384,"")</f>
        <v/>
      </c>
      <c r="B383" s="21" t="str">
        <f>IF(Summary!J384&lt;&gt;"",Summary!J384,"")</f>
        <v/>
      </c>
      <c r="C383" s="44" t="str">
        <f>IF(Summary!E384+Summary!H384&gt;0,Summary!E384+Summary!H384,"")</f>
        <v/>
      </c>
      <c r="D383" s="40" t="str">
        <f>IF(Summary!L384&lt;&gt;"",Summary!L384,"")</f>
        <v/>
      </c>
      <c r="E383" s="40" t="str">
        <f>IF(Summary!M384&lt;&gt;"",Summary!M384,"")</f>
        <v/>
      </c>
      <c r="F383" s="20" t="str">
        <f>IF(Summary!N384&lt;&gt;"",Summary!N384,"")</f>
        <v/>
      </c>
      <c r="G383" s="20" t="str">
        <f>IF(Summary!O384&lt;&gt;"",Summary!O384,"")</f>
        <v/>
      </c>
    </row>
    <row r="384" spans="1:7">
      <c r="A384" s="39" t="str">
        <f>IF(Summary!A385&lt;&gt;"",Summary!A385,"")</f>
        <v/>
      </c>
      <c r="B384" s="21" t="str">
        <f>IF(Summary!J385&lt;&gt;"",Summary!J385,"")</f>
        <v/>
      </c>
      <c r="C384" s="44" t="str">
        <f>IF(Summary!E385+Summary!H385&gt;0,Summary!E385+Summary!H385,"")</f>
        <v/>
      </c>
      <c r="D384" s="40" t="str">
        <f>IF(Summary!L385&lt;&gt;"",Summary!L385,"")</f>
        <v/>
      </c>
      <c r="E384" s="40" t="str">
        <f>IF(Summary!M385&lt;&gt;"",Summary!M385,"")</f>
        <v/>
      </c>
      <c r="F384" s="20" t="str">
        <f>IF(Summary!N385&lt;&gt;"",Summary!N385,"")</f>
        <v/>
      </c>
      <c r="G384" s="20" t="str">
        <f>IF(Summary!O385&lt;&gt;"",Summary!O385,"")</f>
        <v/>
      </c>
    </row>
    <row r="385" spans="1:7">
      <c r="A385" s="39" t="str">
        <f>IF(Summary!A386&lt;&gt;"",Summary!A386,"")</f>
        <v/>
      </c>
      <c r="B385" s="21" t="str">
        <f>IF(Summary!J386&lt;&gt;"",Summary!J386,"")</f>
        <v/>
      </c>
      <c r="C385" s="44" t="str">
        <f>IF(Summary!E386+Summary!H386&gt;0,Summary!E386+Summary!H386,"")</f>
        <v/>
      </c>
      <c r="D385" s="40" t="str">
        <f>IF(Summary!L386&lt;&gt;"",Summary!L386,"")</f>
        <v/>
      </c>
      <c r="E385" s="40" t="str">
        <f>IF(Summary!M386&lt;&gt;"",Summary!M386,"")</f>
        <v/>
      </c>
      <c r="F385" s="20" t="str">
        <f>IF(Summary!N386&lt;&gt;"",Summary!N386,"")</f>
        <v/>
      </c>
      <c r="G385" s="20" t="str">
        <f>IF(Summary!O386&lt;&gt;"",Summary!O386,"")</f>
        <v/>
      </c>
    </row>
    <row r="386" spans="1:7">
      <c r="A386" s="39" t="str">
        <f>IF(Summary!A387&lt;&gt;"",Summary!A387,"")</f>
        <v/>
      </c>
      <c r="B386" s="21" t="str">
        <f>IF(Summary!J387&lt;&gt;"",Summary!J387,"")</f>
        <v/>
      </c>
      <c r="C386" s="44" t="str">
        <f>IF(Summary!E387+Summary!H387&gt;0,Summary!E387+Summary!H387,"")</f>
        <v/>
      </c>
      <c r="D386" s="40" t="str">
        <f>IF(Summary!L387&lt;&gt;"",Summary!L387,"")</f>
        <v/>
      </c>
      <c r="E386" s="40" t="str">
        <f>IF(Summary!M387&lt;&gt;"",Summary!M387,"")</f>
        <v/>
      </c>
      <c r="F386" s="20" t="str">
        <f>IF(Summary!N387&lt;&gt;"",Summary!N387,"")</f>
        <v/>
      </c>
      <c r="G386" s="20" t="str">
        <f>IF(Summary!O387&lt;&gt;"",Summary!O387,"")</f>
        <v/>
      </c>
    </row>
    <row r="387" spans="1:7">
      <c r="A387" s="39" t="str">
        <f>IF(Summary!A388&lt;&gt;"",Summary!A388,"")</f>
        <v/>
      </c>
      <c r="B387" s="21" t="str">
        <f>IF(Summary!J388&lt;&gt;"",Summary!J388,"")</f>
        <v/>
      </c>
      <c r="C387" s="44" t="str">
        <f>IF(Summary!E388+Summary!H388&gt;0,Summary!E388+Summary!H388,"")</f>
        <v/>
      </c>
      <c r="D387" s="40" t="str">
        <f>IF(Summary!L388&lt;&gt;"",Summary!L388,"")</f>
        <v/>
      </c>
      <c r="E387" s="40" t="str">
        <f>IF(Summary!M388&lt;&gt;"",Summary!M388,"")</f>
        <v/>
      </c>
      <c r="F387" s="20" t="str">
        <f>IF(Summary!N388&lt;&gt;"",Summary!N388,"")</f>
        <v/>
      </c>
      <c r="G387" s="20" t="str">
        <f>IF(Summary!O388&lt;&gt;"",Summary!O388,"")</f>
        <v/>
      </c>
    </row>
    <row r="388" spans="1:7">
      <c r="A388" s="39" t="str">
        <f>IF(Summary!A389&lt;&gt;"",Summary!A389,"")</f>
        <v/>
      </c>
      <c r="B388" s="21" t="str">
        <f>IF(Summary!J389&lt;&gt;"",Summary!J389,"")</f>
        <v/>
      </c>
      <c r="C388" s="44" t="str">
        <f>IF(Summary!E389+Summary!H389&gt;0,Summary!E389+Summary!H389,"")</f>
        <v/>
      </c>
      <c r="D388" s="40" t="str">
        <f>IF(Summary!L389&lt;&gt;"",Summary!L389,"")</f>
        <v/>
      </c>
      <c r="E388" s="40" t="str">
        <f>IF(Summary!M389&lt;&gt;"",Summary!M389,"")</f>
        <v/>
      </c>
      <c r="F388" s="20" t="str">
        <f>IF(Summary!N389&lt;&gt;"",Summary!N389,"")</f>
        <v/>
      </c>
      <c r="G388" s="20" t="str">
        <f>IF(Summary!O389&lt;&gt;"",Summary!O389,"")</f>
        <v/>
      </c>
    </row>
    <row r="389" spans="1:7">
      <c r="A389" s="39" t="str">
        <f>IF(Summary!A390&lt;&gt;"",Summary!A390,"")</f>
        <v/>
      </c>
      <c r="B389" s="21" t="str">
        <f>IF(Summary!J390&lt;&gt;"",Summary!J390,"")</f>
        <v/>
      </c>
      <c r="C389" s="44" t="str">
        <f>IF(Summary!E390+Summary!H390&gt;0,Summary!E390+Summary!H390,"")</f>
        <v/>
      </c>
      <c r="D389" s="40" t="str">
        <f>IF(Summary!L390&lt;&gt;"",Summary!L390,"")</f>
        <v/>
      </c>
      <c r="E389" s="40" t="str">
        <f>IF(Summary!M390&lt;&gt;"",Summary!M390,"")</f>
        <v/>
      </c>
      <c r="F389" s="20" t="str">
        <f>IF(Summary!N390&lt;&gt;"",Summary!N390,"")</f>
        <v/>
      </c>
      <c r="G389" s="20" t="str">
        <f>IF(Summary!O390&lt;&gt;"",Summary!O390,"")</f>
        <v/>
      </c>
    </row>
    <row r="390" spans="1:7">
      <c r="A390" s="39" t="str">
        <f>IF(Summary!A391&lt;&gt;"",Summary!A391,"")</f>
        <v/>
      </c>
      <c r="B390" s="21" t="str">
        <f>IF(Summary!J391&lt;&gt;"",Summary!J391,"")</f>
        <v/>
      </c>
      <c r="C390" s="44" t="str">
        <f>IF(Summary!E391+Summary!H391&gt;0,Summary!E391+Summary!H391,"")</f>
        <v/>
      </c>
      <c r="D390" s="40" t="str">
        <f>IF(Summary!L391&lt;&gt;"",Summary!L391,"")</f>
        <v/>
      </c>
      <c r="E390" s="40" t="str">
        <f>IF(Summary!M391&lt;&gt;"",Summary!M391,"")</f>
        <v/>
      </c>
      <c r="F390" s="20" t="str">
        <f>IF(Summary!N391&lt;&gt;"",Summary!N391,"")</f>
        <v/>
      </c>
      <c r="G390" s="20" t="str">
        <f>IF(Summary!O391&lt;&gt;"",Summary!O391,"")</f>
        <v/>
      </c>
    </row>
    <row r="391" spans="1:7">
      <c r="A391" s="39" t="str">
        <f>IF(Summary!A392&lt;&gt;"",Summary!A392,"")</f>
        <v/>
      </c>
      <c r="B391" s="21" t="str">
        <f>IF(Summary!J392&lt;&gt;"",Summary!J392,"")</f>
        <v/>
      </c>
      <c r="C391" s="44" t="str">
        <f>IF(Summary!E392+Summary!H392&gt;0,Summary!E392+Summary!H392,"")</f>
        <v/>
      </c>
      <c r="D391" s="40" t="str">
        <f>IF(Summary!L392&lt;&gt;"",Summary!L392,"")</f>
        <v/>
      </c>
      <c r="E391" s="40" t="str">
        <f>IF(Summary!M392&lt;&gt;"",Summary!M392,"")</f>
        <v/>
      </c>
      <c r="F391" s="20" t="str">
        <f>IF(Summary!N392&lt;&gt;"",Summary!N392,"")</f>
        <v/>
      </c>
      <c r="G391" s="20" t="str">
        <f>IF(Summary!O392&lt;&gt;"",Summary!O392,"")</f>
        <v/>
      </c>
    </row>
    <row r="392" spans="1:7">
      <c r="A392" s="39" t="str">
        <f>IF(Summary!A393&lt;&gt;"",Summary!A393,"")</f>
        <v/>
      </c>
      <c r="B392" s="21" t="str">
        <f>IF(Summary!J393&lt;&gt;"",Summary!J393,"")</f>
        <v/>
      </c>
      <c r="C392" s="44" t="str">
        <f>IF(Summary!E393+Summary!H393&gt;0,Summary!E393+Summary!H393,"")</f>
        <v/>
      </c>
      <c r="D392" s="40" t="str">
        <f>IF(Summary!L393&lt;&gt;"",Summary!L393,"")</f>
        <v/>
      </c>
      <c r="E392" s="40" t="str">
        <f>IF(Summary!M393&lt;&gt;"",Summary!M393,"")</f>
        <v/>
      </c>
      <c r="F392" s="20" t="str">
        <f>IF(Summary!N393&lt;&gt;"",Summary!N393,"")</f>
        <v/>
      </c>
      <c r="G392" s="20" t="str">
        <f>IF(Summary!O393&lt;&gt;"",Summary!O393,"")</f>
        <v/>
      </c>
    </row>
    <row r="393" spans="1:7">
      <c r="A393" s="39" t="str">
        <f>IF(Summary!A394&lt;&gt;"",Summary!A394,"")</f>
        <v/>
      </c>
      <c r="B393" s="21" t="str">
        <f>IF(Summary!J394&lt;&gt;"",Summary!J394,"")</f>
        <v/>
      </c>
      <c r="C393" s="44" t="str">
        <f>IF(Summary!E394+Summary!H394&gt;0,Summary!E394+Summary!H394,"")</f>
        <v/>
      </c>
      <c r="D393" s="40" t="str">
        <f>IF(Summary!L394&lt;&gt;"",Summary!L394,"")</f>
        <v/>
      </c>
      <c r="E393" s="40" t="str">
        <f>IF(Summary!M394&lt;&gt;"",Summary!M394,"")</f>
        <v/>
      </c>
      <c r="F393" s="20" t="str">
        <f>IF(Summary!N394&lt;&gt;"",Summary!N394,"")</f>
        <v/>
      </c>
      <c r="G393" s="20" t="str">
        <f>IF(Summary!O394&lt;&gt;"",Summary!O394,"")</f>
        <v/>
      </c>
    </row>
    <row r="394" spans="1:7">
      <c r="A394" s="39" t="str">
        <f>IF(Summary!A395&lt;&gt;"",Summary!A395,"")</f>
        <v/>
      </c>
      <c r="B394" s="21" t="str">
        <f>IF(Summary!J395&lt;&gt;"",Summary!J395,"")</f>
        <v/>
      </c>
      <c r="C394" s="44" t="str">
        <f>IF(Summary!E395+Summary!H395&gt;0,Summary!E395+Summary!H395,"")</f>
        <v/>
      </c>
      <c r="D394" s="40" t="str">
        <f>IF(Summary!L395&lt;&gt;"",Summary!L395,"")</f>
        <v/>
      </c>
      <c r="E394" s="40" t="str">
        <f>IF(Summary!M395&lt;&gt;"",Summary!M395,"")</f>
        <v/>
      </c>
      <c r="F394" s="20" t="str">
        <f>IF(Summary!N395&lt;&gt;"",Summary!N395,"")</f>
        <v/>
      </c>
      <c r="G394" s="20" t="str">
        <f>IF(Summary!O395&lt;&gt;"",Summary!O395,"")</f>
        <v/>
      </c>
    </row>
    <row r="395" spans="1:7">
      <c r="A395" s="39" t="str">
        <f>IF(Summary!A396&lt;&gt;"",Summary!A396,"")</f>
        <v/>
      </c>
      <c r="B395" s="21" t="str">
        <f>IF(Summary!J396&lt;&gt;"",Summary!J396,"")</f>
        <v/>
      </c>
      <c r="C395" s="44" t="str">
        <f>IF(Summary!E396+Summary!H396&gt;0,Summary!E396+Summary!H396,"")</f>
        <v/>
      </c>
      <c r="D395" s="40" t="str">
        <f>IF(Summary!L396&lt;&gt;"",Summary!L396,"")</f>
        <v/>
      </c>
      <c r="E395" s="40" t="str">
        <f>IF(Summary!M396&lt;&gt;"",Summary!M396,"")</f>
        <v/>
      </c>
      <c r="F395" s="20" t="str">
        <f>IF(Summary!N396&lt;&gt;"",Summary!N396,"")</f>
        <v/>
      </c>
      <c r="G395" s="20" t="str">
        <f>IF(Summary!O396&lt;&gt;"",Summary!O396,"")</f>
        <v/>
      </c>
    </row>
    <row r="396" spans="1:7">
      <c r="A396" s="39" t="str">
        <f>IF(Summary!A397&lt;&gt;"",Summary!A397,"")</f>
        <v/>
      </c>
      <c r="B396" s="21" t="str">
        <f>IF(Summary!J397&lt;&gt;"",Summary!J397,"")</f>
        <v/>
      </c>
      <c r="C396" s="44" t="str">
        <f>IF(Summary!E397+Summary!H397&gt;0,Summary!E397+Summary!H397,"")</f>
        <v/>
      </c>
      <c r="D396" s="40" t="str">
        <f>IF(Summary!L397&lt;&gt;"",Summary!L397,"")</f>
        <v/>
      </c>
      <c r="E396" s="40" t="str">
        <f>IF(Summary!M397&lt;&gt;"",Summary!M397,"")</f>
        <v/>
      </c>
      <c r="F396" s="20" t="str">
        <f>IF(Summary!N397&lt;&gt;"",Summary!N397,"")</f>
        <v/>
      </c>
      <c r="G396" s="20" t="str">
        <f>IF(Summary!O397&lt;&gt;"",Summary!O397,"")</f>
        <v/>
      </c>
    </row>
    <row r="397" spans="1:7">
      <c r="A397" s="39" t="str">
        <f>IF(Summary!A398&lt;&gt;"",Summary!A398,"")</f>
        <v/>
      </c>
      <c r="B397" s="21" t="str">
        <f>IF(Summary!J398&lt;&gt;"",Summary!J398,"")</f>
        <v/>
      </c>
      <c r="C397" s="44" t="str">
        <f>IF(Summary!E398+Summary!H398&gt;0,Summary!E398+Summary!H398,"")</f>
        <v/>
      </c>
      <c r="D397" s="40" t="str">
        <f>IF(Summary!L398&lt;&gt;"",Summary!L398,"")</f>
        <v/>
      </c>
      <c r="E397" s="40" t="str">
        <f>IF(Summary!M398&lt;&gt;"",Summary!M398,"")</f>
        <v/>
      </c>
      <c r="F397" s="20" t="str">
        <f>IF(Summary!N398&lt;&gt;"",Summary!N398,"")</f>
        <v/>
      </c>
      <c r="G397" s="20" t="str">
        <f>IF(Summary!O398&lt;&gt;"",Summary!O398,"")</f>
        <v/>
      </c>
    </row>
    <row r="398" spans="1:7">
      <c r="A398" s="39" t="str">
        <f>IF(Summary!A399&lt;&gt;"",Summary!A399,"")</f>
        <v/>
      </c>
      <c r="B398" s="21" t="str">
        <f>IF(Summary!J399&lt;&gt;"",Summary!J399,"")</f>
        <v/>
      </c>
      <c r="C398" s="44" t="str">
        <f>IF(Summary!E399+Summary!H399&gt;0,Summary!E399+Summary!H399,"")</f>
        <v/>
      </c>
      <c r="D398" s="40" t="str">
        <f>IF(Summary!L399&lt;&gt;"",Summary!L399,"")</f>
        <v/>
      </c>
      <c r="E398" s="40" t="str">
        <f>IF(Summary!M399&lt;&gt;"",Summary!M399,"")</f>
        <v/>
      </c>
      <c r="F398" s="20" t="str">
        <f>IF(Summary!N399&lt;&gt;"",Summary!N399,"")</f>
        <v/>
      </c>
      <c r="G398" s="20" t="str">
        <f>IF(Summary!O399&lt;&gt;"",Summary!O399,"")</f>
        <v/>
      </c>
    </row>
    <row r="399" spans="1:7">
      <c r="A399" s="39" t="str">
        <f>IF(Summary!A400&lt;&gt;"",Summary!A400,"")</f>
        <v/>
      </c>
      <c r="B399" s="21" t="str">
        <f>IF(Summary!J400&lt;&gt;"",Summary!J400,"")</f>
        <v/>
      </c>
      <c r="C399" s="44" t="str">
        <f>IF(Summary!E400+Summary!H400&gt;0,Summary!E400+Summary!H400,"")</f>
        <v/>
      </c>
      <c r="D399" s="40" t="str">
        <f>IF(Summary!L400&lt;&gt;"",Summary!L400,"")</f>
        <v/>
      </c>
      <c r="E399" s="40" t="str">
        <f>IF(Summary!M400&lt;&gt;"",Summary!M400,"")</f>
        <v/>
      </c>
      <c r="F399" s="20" t="str">
        <f>IF(Summary!N400&lt;&gt;"",Summary!N400,"")</f>
        <v/>
      </c>
      <c r="G399" s="20" t="str">
        <f>IF(Summary!O400&lt;&gt;"",Summary!O400,"")</f>
        <v/>
      </c>
    </row>
    <row r="400" spans="1:7">
      <c r="A400" s="39" t="str">
        <f>IF(Summary!A401&lt;&gt;"",Summary!A401,"")</f>
        <v/>
      </c>
      <c r="B400" s="21" t="str">
        <f>IF(Summary!J401&lt;&gt;"",Summary!J401,"")</f>
        <v/>
      </c>
      <c r="C400" s="44" t="str">
        <f>IF(Summary!E401+Summary!H401&gt;0,Summary!E401+Summary!H401,"")</f>
        <v/>
      </c>
      <c r="D400" s="40" t="str">
        <f>IF(Summary!L401&lt;&gt;"",Summary!L401,"")</f>
        <v/>
      </c>
      <c r="E400" s="40" t="str">
        <f>IF(Summary!M401&lt;&gt;"",Summary!M401,"")</f>
        <v/>
      </c>
      <c r="F400" s="20" t="str">
        <f>IF(Summary!N401&lt;&gt;"",Summary!N401,"")</f>
        <v/>
      </c>
      <c r="G400" s="20" t="str">
        <f>IF(Summary!O401&lt;&gt;"",Summary!O401,"")</f>
        <v/>
      </c>
    </row>
    <row r="401" spans="1:7">
      <c r="A401" s="39" t="str">
        <f>IF(Summary!A402&lt;&gt;"",Summary!A402,"")</f>
        <v/>
      </c>
      <c r="B401" s="21" t="str">
        <f>IF(Summary!J402&lt;&gt;"",Summary!J402,"")</f>
        <v/>
      </c>
      <c r="C401" s="44" t="str">
        <f>IF(Summary!E402+Summary!H402&gt;0,Summary!E402+Summary!H402,"")</f>
        <v/>
      </c>
      <c r="D401" s="40" t="str">
        <f>IF(Summary!L402&lt;&gt;"",Summary!L402,"")</f>
        <v/>
      </c>
      <c r="E401" s="40" t="str">
        <f>IF(Summary!M402&lt;&gt;"",Summary!M402,"")</f>
        <v/>
      </c>
      <c r="F401" s="20" t="str">
        <f>IF(Summary!N402&lt;&gt;"",Summary!N402,"")</f>
        <v/>
      </c>
      <c r="G401" s="20" t="str">
        <f>IF(Summary!O402&lt;&gt;"",Summary!O402,"")</f>
        <v/>
      </c>
    </row>
    <row r="402" spans="1:7">
      <c r="A402" s="39" t="str">
        <f>IF(Summary!A403&lt;&gt;"",Summary!A403,"")</f>
        <v/>
      </c>
      <c r="B402" s="21" t="str">
        <f>IF(Summary!J403&lt;&gt;"",Summary!J403,"")</f>
        <v/>
      </c>
      <c r="C402" s="44" t="str">
        <f>IF(Summary!E403+Summary!H403&gt;0,Summary!E403+Summary!H403,"")</f>
        <v/>
      </c>
      <c r="D402" s="40" t="str">
        <f>IF(Summary!L403&lt;&gt;"",Summary!L403,"")</f>
        <v/>
      </c>
      <c r="E402" s="40" t="str">
        <f>IF(Summary!M403&lt;&gt;"",Summary!M403,"")</f>
        <v/>
      </c>
      <c r="F402" s="20" t="str">
        <f>IF(Summary!N403&lt;&gt;"",Summary!N403,"")</f>
        <v/>
      </c>
      <c r="G402" s="20" t="str">
        <f>IF(Summary!O403&lt;&gt;"",Summary!O403,"")</f>
        <v/>
      </c>
    </row>
    <row r="403" spans="1:7">
      <c r="A403" s="39" t="str">
        <f>IF(Summary!A404&lt;&gt;"",Summary!A404,"")</f>
        <v/>
      </c>
      <c r="B403" s="21" t="str">
        <f>IF(Summary!J404&lt;&gt;"",Summary!J404,"")</f>
        <v/>
      </c>
      <c r="C403" s="44" t="str">
        <f>IF(Summary!E404+Summary!H404&gt;0,Summary!E404+Summary!H404,"")</f>
        <v/>
      </c>
      <c r="D403" s="40" t="str">
        <f>IF(Summary!L404&lt;&gt;"",Summary!L404,"")</f>
        <v/>
      </c>
      <c r="E403" s="40" t="str">
        <f>IF(Summary!M404&lt;&gt;"",Summary!M404,"")</f>
        <v/>
      </c>
      <c r="F403" s="20" t="str">
        <f>IF(Summary!N404&lt;&gt;"",Summary!N404,"")</f>
        <v/>
      </c>
      <c r="G403" s="20" t="str">
        <f>IF(Summary!O404&lt;&gt;"",Summary!O404,"")</f>
        <v/>
      </c>
    </row>
    <row r="404" spans="1:7">
      <c r="A404" s="39" t="str">
        <f>IF(Summary!A405&lt;&gt;"",Summary!A405,"")</f>
        <v/>
      </c>
      <c r="B404" s="21" t="str">
        <f>IF(Summary!J405&lt;&gt;"",Summary!J405,"")</f>
        <v/>
      </c>
      <c r="C404" s="44" t="str">
        <f>IF(Summary!E405+Summary!H405&gt;0,Summary!E405+Summary!H405,"")</f>
        <v/>
      </c>
      <c r="D404" s="40" t="str">
        <f>IF(Summary!L405&lt;&gt;"",Summary!L405,"")</f>
        <v/>
      </c>
      <c r="E404" s="40" t="str">
        <f>IF(Summary!M405&lt;&gt;"",Summary!M405,"")</f>
        <v/>
      </c>
      <c r="F404" s="20" t="str">
        <f>IF(Summary!N405&lt;&gt;"",Summary!N405,"")</f>
        <v/>
      </c>
      <c r="G404" s="20" t="str">
        <f>IF(Summary!O405&lt;&gt;"",Summary!O405,"")</f>
        <v/>
      </c>
    </row>
    <row r="405" spans="1:7">
      <c r="A405" s="39" t="str">
        <f>IF(Summary!A406&lt;&gt;"",Summary!A406,"")</f>
        <v/>
      </c>
      <c r="B405" s="21" t="str">
        <f>IF(Summary!J406&lt;&gt;"",Summary!J406,"")</f>
        <v/>
      </c>
      <c r="C405" s="44" t="str">
        <f>IF(Summary!E406+Summary!H406&gt;0,Summary!E406+Summary!H406,"")</f>
        <v/>
      </c>
      <c r="D405" s="40" t="str">
        <f>IF(Summary!L406&lt;&gt;"",Summary!L406,"")</f>
        <v/>
      </c>
      <c r="E405" s="40" t="str">
        <f>IF(Summary!M406&lt;&gt;"",Summary!M406,"")</f>
        <v/>
      </c>
      <c r="F405" s="20" t="str">
        <f>IF(Summary!N406&lt;&gt;"",Summary!N406,"")</f>
        <v/>
      </c>
      <c r="G405" s="20" t="str">
        <f>IF(Summary!O406&lt;&gt;"",Summary!O406,"")</f>
        <v/>
      </c>
    </row>
    <row r="406" spans="1:7">
      <c r="A406" s="39" t="str">
        <f>IF(Summary!A407&lt;&gt;"",Summary!A407,"")</f>
        <v/>
      </c>
      <c r="B406" s="21" t="str">
        <f>IF(Summary!J407&lt;&gt;"",Summary!J407,"")</f>
        <v/>
      </c>
      <c r="C406" s="44" t="str">
        <f>IF(Summary!E407+Summary!H407&gt;0,Summary!E407+Summary!H407,"")</f>
        <v/>
      </c>
      <c r="D406" s="40" t="str">
        <f>IF(Summary!L407&lt;&gt;"",Summary!L407,"")</f>
        <v/>
      </c>
      <c r="E406" s="40" t="str">
        <f>IF(Summary!M407&lt;&gt;"",Summary!M407,"")</f>
        <v/>
      </c>
      <c r="F406" s="20" t="str">
        <f>IF(Summary!N407&lt;&gt;"",Summary!N407,"")</f>
        <v/>
      </c>
      <c r="G406" s="20" t="str">
        <f>IF(Summary!O407&lt;&gt;"",Summary!O407,"")</f>
        <v/>
      </c>
    </row>
    <row r="407" spans="1:7">
      <c r="A407" s="39" t="str">
        <f>IF(Summary!A408&lt;&gt;"",Summary!A408,"")</f>
        <v/>
      </c>
      <c r="B407" s="21" t="str">
        <f>IF(Summary!J408&lt;&gt;"",Summary!J408,"")</f>
        <v/>
      </c>
      <c r="C407" s="44" t="str">
        <f>IF(Summary!E408+Summary!H408&gt;0,Summary!E408+Summary!H408,"")</f>
        <v/>
      </c>
      <c r="D407" s="40" t="str">
        <f>IF(Summary!L408&lt;&gt;"",Summary!L408,"")</f>
        <v/>
      </c>
      <c r="E407" s="40" t="str">
        <f>IF(Summary!M408&lt;&gt;"",Summary!M408,"")</f>
        <v/>
      </c>
      <c r="F407" s="20" t="str">
        <f>IF(Summary!N408&lt;&gt;"",Summary!N408,"")</f>
        <v/>
      </c>
      <c r="G407" s="20" t="str">
        <f>IF(Summary!O408&lt;&gt;"",Summary!O408,"")</f>
        <v/>
      </c>
    </row>
    <row r="408" spans="1:7">
      <c r="A408" s="39" t="str">
        <f>IF(Summary!A409&lt;&gt;"",Summary!A409,"")</f>
        <v/>
      </c>
      <c r="B408" s="21" t="str">
        <f>IF(Summary!J409&lt;&gt;"",Summary!J409,"")</f>
        <v/>
      </c>
      <c r="C408" s="44" t="str">
        <f>IF(Summary!E409+Summary!H409&gt;0,Summary!E409+Summary!H409,"")</f>
        <v/>
      </c>
      <c r="D408" s="40" t="str">
        <f>IF(Summary!L409&lt;&gt;"",Summary!L409,"")</f>
        <v/>
      </c>
      <c r="E408" s="40" t="str">
        <f>IF(Summary!M409&lt;&gt;"",Summary!M409,"")</f>
        <v/>
      </c>
      <c r="F408" s="20" t="str">
        <f>IF(Summary!N409&lt;&gt;"",Summary!N409,"")</f>
        <v/>
      </c>
      <c r="G408" s="20" t="str">
        <f>IF(Summary!O409&lt;&gt;"",Summary!O409,"")</f>
        <v/>
      </c>
    </row>
    <row r="409" spans="1:7">
      <c r="A409" s="39" t="str">
        <f>IF(Summary!A410&lt;&gt;"",Summary!A410,"")</f>
        <v/>
      </c>
      <c r="B409" s="21" t="str">
        <f>IF(Summary!J410&lt;&gt;"",Summary!J410,"")</f>
        <v/>
      </c>
      <c r="C409" s="44" t="str">
        <f>IF(Summary!E410+Summary!H410&gt;0,Summary!E410+Summary!H410,"")</f>
        <v/>
      </c>
      <c r="D409" s="40" t="str">
        <f>IF(Summary!L410&lt;&gt;"",Summary!L410,"")</f>
        <v/>
      </c>
      <c r="E409" s="40" t="str">
        <f>IF(Summary!M410&lt;&gt;"",Summary!M410,"")</f>
        <v/>
      </c>
      <c r="F409" s="20" t="str">
        <f>IF(Summary!N410&lt;&gt;"",Summary!N410,"")</f>
        <v/>
      </c>
      <c r="G409" s="20" t="str">
        <f>IF(Summary!O410&lt;&gt;"",Summary!O410,"")</f>
        <v/>
      </c>
    </row>
    <row r="410" spans="1:7">
      <c r="A410" s="39" t="str">
        <f>IF(Summary!A411&lt;&gt;"",Summary!A411,"")</f>
        <v/>
      </c>
      <c r="B410" s="21" t="str">
        <f>IF(Summary!J411&lt;&gt;"",Summary!J411,"")</f>
        <v/>
      </c>
      <c r="C410" s="44" t="str">
        <f>IF(Summary!E411+Summary!H411&gt;0,Summary!E411+Summary!H411,"")</f>
        <v/>
      </c>
      <c r="D410" s="40" t="str">
        <f>IF(Summary!L411&lt;&gt;"",Summary!L411,"")</f>
        <v/>
      </c>
      <c r="E410" s="40" t="str">
        <f>IF(Summary!M411&lt;&gt;"",Summary!M411,"")</f>
        <v/>
      </c>
      <c r="F410" s="20" t="str">
        <f>IF(Summary!N411&lt;&gt;"",Summary!N411,"")</f>
        <v/>
      </c>
      <c r="G410" s="20" t="str">
        <f>IF(Summary!O411&lt;&gt;"",Summary!O411,"")</f>
        <v/>
      </c>
    </row>
    <row r="411" spans="1:7">
      <c r="A411" s="39" t="str">
        <f>IF(Summary!A412&lt;&gt;"",Summary!A412,"")</f>
        <v/>
      </c>
      <c r="B411" s="21" t="str">
        <f>IF(Summary!J412&lt;&gt;"",Summary!J412,"")</f>
        <v/>
      </c>
      <c r="C411" s="44" t="str">
        <f>IF(Summary!E412+Summary!H412&gt;0,Summary!E412+Summary!H412,"")</f>
        <v/>
      </c>
      <c r="D411" s="40" t="str">
        <f>IF(Summary!L412&lt;&gt;"",Summary!L412,"")</f>
        <v/>
      </c>
      <c r="E411" s="40" t="str">
        <f>IF(Summary!M412&lt;&gt;"",Summary!M412,"")</f>
        <v/>
      </c>
      <c r="F411" s="20" t="str">
        <f>IF(Summary!N412&lt;&gt;"",Summary!N412,"")</f>
        <v/>
      </c>
      <c r="G411" s="20" t="str">
        <f>IF(Summary!O412&lt;&gt;"",Summary!O412,"")</f>
        <v/>
      </c>
    </row>
    <row r="412" spans="1:7">
      <c r="A412" s="39" t="str">
        <f>IF(Summary!A413&lt;&gt;"",Summary!A413,"")</f>
        <v/>
      </c>
      <c r="B412" s="21" t="str">
        <f>IF(Summary!J413&lt;&gt;"",Summary!J413,"")</f>
        <v/>
      </c>
      <c r="C412" s="44" t="str">
        <f>IF(Summary!E413+Summary!H413&gt;0,Summary!E413+Summary!H413,"")</f>
        <v/>
      </c>
      <c r="D412" s="40" t="str">
        <f>IF(Summary!L413&lt;&gt;"",Summary!L413,"")</f>
        <v/>
      </c>
      <c r="E412" s="40" t="str">
        <f>IF(Summary!M413&lt;&gt;"",Summary!M413,"")</f>
        <v/>
      </c>
      <c r="F412" s="20" t="str">
        <f>IF(Summary!N413&lt;&gt;"",Summary!N413,"")</f>
        <v/>
      </c>
      <c r="G412" s="20" t="str">
        <f>IF(Summary!O413&lt;&gt;"",Summary!O413,"")</f>
        <v/>
      </c>
    </row>
    <row r="413" spans="1:7">
      <c r="A413" s="39" t="str">
        <f>IF(Summary!A414&lt;&gt;"",Summary!A414,"")</f>
        <v/>
      </c>
      <c r="B413" s="21" t="str">
        <f>IF(Summary!J414&lt;&gt;"",Summary!J414,"")</f>
        <v/>
      </c>
      <c r="C413" s="44" t="str">
        <f>IF(Summary!E414+Summary!H414&gt;0,Summary!E414+Summary!H414,"")</f>
        <v/>
      </c>
      <c r="D413" s="40" t="str">
        <f>IF(Summary!L414&lt;&gt;"",Summary!L414,"")</f>
        <v/>
      </c>
      <c r="E413" s="40" t="str">
        <f>IF(Summary!M414&lt;&gt;"",Summary!M414,"")</f>
        <v/>
      </c>
      <c r="F413" s="20" t="str">
        <f>IF(Summary!N414&lt;&gt;"",Summary!N414,"")</f>
        <v/>
      </c>
      <c r="G413" s="20" t="str">
        <f>IF(Summary!O414&lt;&gt;"",Summary!O414,"")</f>
        <v/>
      </c>
    </row>
    <row r="414" spans="1:7">
      <c r="A414" s="39" t="str">
        <f>IF(Summary!A415&lt;&gt;"",Summary!A415,"")</f>
        <v/>
      </c>
      <c r="B414" s="21" t="str">
        <f>IF(Summary!J415&lt;&gt;"",Summary!J415,"")</f>
        <v/>
      </c>
      <c r="C414" s="44" t="str">
        <f>IF(Summary!E415+Summary!H415&gt;0,Summary!E415+Summary!H415,"")</f>
        <v/>
      </c>
      <c r="D414" s="40" t="str">
        <f>IF(Summary!L415&lt;&gt;"",Summary!L415,"")</f>
        <v/>
      </c>
      <c r="E414" s="40" t="str">
        <f>IF(Summary!M415&lt;&gt;"",Summary!M415,"")</f>
        <v/>
      </c>
      <c r="F414" s="20" t="str">
        <f>IF(Summary!N415&lt;&gt;"",Summary!N415,"")</f>
        <v/>
      </c>
      <c r="G414" s="20" t="str">
        <f>IF(Summary!O415&lt;&gt;"",Summary!O415,"")</f>
        <v/>
      </c>
    </row>
    <row r="415" spans="1:7">
      <c r="A415" s="39" t="str">
        <f>IF(Summary!A416&lt;&gt;"",Summary!A416,"")</f>
        <v/>
      </c>
      <c r="B415" s="21" t="str">
        <f>IF(Summary!J416&lt;&gt;"",Summary!J416,"")</f>
        <v/>
      </c>
      <c r="C415" s="44" t="str">
        <f>IF(Summary!E416+Summary!H416&gt;0,Summary!E416+Summary!H416,"")</f>
        <v/>
      </c>
      <c r="D415" s="40" t="str">
        <f>IF(Summary!L416&lt;&gt;"",Summary!L416,"")</f>
        <v/>
      </c>
      <c r="E415" s="40" t="str">
        <f>IF(Summary!M416&lt;&gt;"",Summary!M416,"")</f>
        <v/>
      </c>
      <c r="F415" s="20" t="str">
        <f>IF(Summary!N416&lt;&gt;"",Summary!N416,"")</f>
        <v/>
      </c>
      <c r="G415" s="20" t="str">
        <f>IF(Summary!O416&lt;&gt;"",Summary!O416,"")</f>
        <v/>
      </c>
    </row>
    <row r="416" spans="1:7">
      <c r="A416" s="39" t="str">
        <f>IF(Summary!A417&lt;&gt;"",Summary!A417,"")</f>
        <v/>
      </c>
      <c r="B416" s="21" t="str">
        <f>IF(Summary!J417&lt;&gt;"",Summary!J417,"")</f>
        <v/>
      </c>
      <c r="C416" s="44" t="str">
        <f>IF(Summary!E417+Summary!H417&gt;0,Summary!E417+Summary!H417,"")</f>
        <v/>
      </c>
      <c r="D416" s="40" t="str">
        <f>IF(Summary!L417&lt;&gt;"",Summary!L417,"")</f>
        <v/>
      </c>
      <c r="E416" s="40" t="str">
        <f>IF(Summary!M417&lt;&gt;"",Summary!M417,"")</f>
        <v/>
      </c>
      <c r="F416" s="20" t="str">
        <f>IF(Summary!N417&lt;&gt;"",Summary!N417,"")</f>
        <v/>
      </c>
      <c r="G416" s="20" t="str">
        <f>IF(Summary!O417&lt;&gt;"",Summary!O417,"")</f>
        <v/>
      </c>
    </row>
    <row r="417" spans="1:7">
      <c r="A417" s="39" t="str">
        <f>IF(Summary!A418&lt;&gt;"",Summary!A418,"")</f>
        <v/>
      </c>
      <c r="B417" s="21" t="str">
        <f>IF(Summary!J418&lt;&gt;"",Summary!J418,"")</f>
        <v/>
      </c>
      <c r="C417" s="44" t="str">
        <f>IF(Summary!E418+Summary!H418&gt;0,Summary!E418+Summary!H418,"")</f>
        <v/>
      </c>
      <c r="D417" s="40" t="str">
        <f>IF(Summary!L418&lt;&gt;"",Summary!L418,"")</f>
        <v/>
      </c>
      <c r="E417" s="40" t="str">
        <f>IF(Summary!M418&lt;&gt;"",Summary!M418,"")</f>
        <v/>
      </c>
      <c r="F417" s="20" t="str">
        <f>IF(Summary!N418&lt;&gt;"",Summary!N418,"")</f>
        <v/>
      </c>
      <c r="G417" s="20" t="str">
        <f>IF(Summary!O418&lt;&gt;"",Summary!O418,"")</f>
        <v/>
      </c>
    </row>
    <row r="418" spans="1:7">
      <c r="A418" s="39" t="str">
        <f>IF(Summary!A419&lt;&gt;"",Summary!A419,"")</f>
        <v/>
      </c>
      <c r="B418" s="21" t="str">
        <f>IF(Summary!J419&lt;&gt;"",Summary!J419,"")</f>
        <v/>
      </c>
      <c r="C418" s="44" t="str">
        <f>IF(Summary!E419+Summary!H419&gt;0,Summary!E419+Summary!H419,"")</f>
        <v/>
      </c>
      <c r="D418" s="40" t="str">
        <f>IF(Summary!L419&lt;&gt;"",Summary!L419,"")</f>
        <v/>
      </c>
      <c r="E418" s="40" t="str">
        <f>IF(Summary!M419&lt;&gt;"",Summary!M419,"")</f>
        <v/>
      </c>
      <c r="F418" s="20" t="str">
        <f>IF(Summary!N419&lt;&gt;"",Summary!N419,"")</f>
        <v/>
      </c>
      <c r="G418" s="20" t="str">
        <f>IF(Summary!O419&lt;&gt;"",Summary!O419,"")</f>
        <v/>
      </c>
    </row>
    <row r="419" spans="1:7">
      <c r="A419" s="39" t="str">
        <f>IF(Summary!A420&lt;&gt;"",Summary!A420,"")</f>
        <v/>
      </c>
      <c r="B419" s="21" t="str">
        <f>IF(Summary!J420&lt;&gt;"",Summary!J420,"")</f>
        <v/>
      </c>
      <c r="C419" s="44" t="str">
        <f>IF(Summary!E420+Summary!H420&gt;0,Summary!E420+Summary!H420,"")</f>
        <v/>
      </c>
      <c r="D419" s="40" t="str">
        <f>IF(Summary!L420&lt;&gt;"",Summary!L420,"")</f>
        <v/>
      </c>
      <c r="E419" s="40" t="str">
        <f>IF(Summary!M420&lt;&gt;"",Summary!M420,"")</f>
        <v/>
      </c>
      <c r="F419" s="20" t="str">
        <f>IF(Summary!N420&lt;&gt;"",Summary!N420,"")</f>
        <v/>
      </c>
      <c r="G419" s="20" t="str">
        <f>IF(Summary!O420&lt;&gt;"",Summary!O420,"")</f>
        <v/>
      </c>
    </row>
    <row r="420" spans="1:7">
      <c r="A420" s="39" t="str">
        <f>IF(Summary!A421&lt;&gt;"",Summary!A421,"")</f>
        <v/>
      </c>
      <c r="B420" s="21" t="str">
        <f>IF(Summary!J421&lt;&gt;"",Summary!J421,"")</f>
        <v/>
      </c>
      <c r="C420" s="44" t="str">
        <f>IF(Summary!E421+Summary!H421&gt;0,Summary!E421+Summary!H421,"")</f>
        <v/>
      </c>
      <c r="D420" s="40" t="str">
        <f>IF(Summary!L421&lt;&gt;"",Summary!L421,"")</f>
        <v/>
      </c>
      <c r="E420" s="40" t="str">
        <f>IF(Summary!M421&lt;&gt;"",Summary!M421,"")</f>
        <v/>
      </c>
      <c r="F420" s="20" t="str">
        <f>IF(Summary!N421&lt;&gt;"",Summary!N421,"")</f>
        <v/>
      </c>
      <c r="G420" s="20" t="str">
        <f>IF(Summary!O421&lt;&gt;"",Summary!O421,"")</f>
        <v/>
      </c>
    </row>
    <row r="421" spans="1:7">
      <c r="A421" s="39" t="str">
        <f>IF(Summary!A422&lt;&gt;"",Summary!A422,"")</f>
        <v/>
      </c>
      <c r="B421" s="21" t="str">
        <f>IF(Summary!J422&lt;&gt;"",Summary!J422,"")</f>
        <v/>
      </c>
      <c r="C421" s="44" t="str">
        <f>IF(Summary!E422+Summary!H422&gt;0,Summary!E422+Summary!H422,"")</f>
        <v/>
      </c>
      <c r="D421" s="40" t="str">
        <f>IF(Summary!L422&lt;&gt;"",Summary!L422,"")</f>
        <v/>
      </c>
      <c r="E421" s="40" t="str">
        <f>IF(Summary!M422&lt;&gt;"",Summary!M422,"")</f>
        <v/>
      </c>
      <c r="F421" s="20" t="str">
        <f>IF(Summary!N422&lt;&gt;"",Summary!N422,"")</f>
        <v/>
      </c>
      <c r="G421" s="20" t="str">
        <f>IF(Summary!O422&lt;&gt;"",Summary!O422,"")</f>
        <v/>
      </c>
    </row>
    <row r="422" spans="1:7">
      <c r="A422" s="39" t="str">
        <f>IF(Summary!A423&lt;&gt;"",Summary!A423,"")</f>
        <v/>
      </c>
      <c r="B422" s="21" t="str">
        <f>IF(Summary!J423&lt;&gt;"",Summary!J423,"")</f>
        <v/>
      </c>
      <c r="C422" s="44" t="str">
        <f>IF(Summary!E423+Summary!H423&gt;0,Summary!E423+Summary!H423,"")</f>
        <v/>
      </c>
      <c r="D422" s="40" t="str">
        <f>IF(Summary!L423&lt;&gt;"",Summary!L423,"")</f>
        <v/>
      </c>
      <c r="E422" s="40" t="str">
        <f>IF(Summary!M423&lt;&gt;"",Summary!M423,"")</f>
        <v/>
      </c>
      <c r="F422" s="20" t="str">
        <f>IF(Summary!N423&lt;&gt;"",Summary!N423,"")</f>
        <v/>
      </c>
      <c r="G422" s="20" t="str">
        <f>IF(Summary!O423&lt;&gt;"",Summary!O423,"")</f>
        <v/>
      </c>
    </row>
    <row r="423" spans="1:7">
      <c r="A423" s="39" t="str">
        <f>IF(Summary!A424&lt;&gt;"",Summary!A424,"")</f>
        <v/>
      </c>
      <c r="B423" s="21" t="str">
        <f>IF(Summary!J424&lt;&gt;"",Summary!J424,"")</f>
        <v/>
      </c>
      <c r="C423" s="44" t="str">
        <f>IF(Summary!E424+Summary!H424&gt;0,Summary!E424+Summary!H424,"")</f>
        <v/>
      </c>
      <c r="D423" s="40" t="str">
        <f>IF(Summary!L424&lt;&gt;"",Summary!L424,"")</f>
        <v/>
      </c>
      <c r="E423" s="40" t="str">
        <f>IF(Summary!M424&lt;&gt;"",Summary!M424,"")</f>
        <v/>
      </c>
      <c r="F423" s="20" t="str">
        <f>IF(Summary!N424&lt;&gt;"",Summary!N424,"")</f>
        <v/>
      </c>
      <c r="G423" s="20" t="str">
        <f>IF(Summary!O424&lt;&gt;"",Summary!O424,"")</f>
        <v/>
      </c>
    </row>
    <row r="424" spans="1:7">
      <c r="A424" s="39" t="str">
        <f>IF(Summary!A425&lt;&gt;"",Summary!A425,"")</f>
        <v/>
      </c>
      <c r="B424" s="21" t="str">
        <f>IF(Summary!J425&lt;&gt;"",Summary!J425,"")</f>
        <v/>
      </c>
      <c r="C424" s="44" t="str">
        <f>IF(Summary!E425+Summary!H425&gt;0,Summary!E425+Summary!H425,"")</f>
        <v/>
      </c>
      <c r="D424" s="40" t="str">
        <f>IF(Summary!L425&lt;&gt;"",Summary!L425,"")</f>
        <v/>
      </c>
      <c r="E424" s="40" t="str">
        <f>IF(Summary!M425&lt;&gt;"",Summary!M425,"")</f>
        <v/>
      </c>
      <c r="F424" s="20" t="str">
        <f>IF(Summary!N425&lt;&gt;"",Summary!N425,"")</f>
        <v/>
      </c>
      <c r="G424" s="20" t="str">
        <f>IF(Summary!O425&lt;&gt;"",Summary!O425,"")</f>
        <v/>
      </c>
    </row>
    <row r="425" spans="1:7">
      <c r="A425" s="39" t="str">
        <f>IF(Summary!A426&lt;&gt;"",Summary!A426,"")</f>
        <v/>
      </c>
      <c r="B425" s="21" t="str">
        <f>IF(Summary!J426&lt;&gt;"",Summary!J426,"")</f>
        <v/>
      </c>
      <c r="C425" s="44" t="str">
        <f>IF(Summary!E426+Summary!H426&gt;0,Summary!E426+Summary!H426,"")</f>
        <v/>
      </c>
      <c r="D425" s="40" t="str">
        <f>IF(Summary!L426&lt;&gt;"",Summary!L426,"")</f>
        <v/>
      </c>
      <c r="E425" s="40" t="str">
        <f>IF(Summary!M426&lt;&gt;"",Summary!M426,"")</f>
        <v/>
      </c>
      <c r="F425" s="20" t="str">
        <f>IF(Summary!N426&lt;&gt;"",Summary!N426,"")</f>
        <v/>
      </c>
      <c r="G425" s="20" t="str">
        <f>IF(Summary!O426&lt;&gt;"",Summary!O426,"")</f>
        <v/>
      </c>
    </row>
    <row r="426" spans="1:7">
      <c r="A426" s="39" t="str">
        <f>IF(Summary!A427&lt;&gt;"",Summary!A427,"")</f>
        <v/>
      </c>
      <c r="B426" s="21" t="str">
        <f>IF(Summary!J427&lt;&gt;"",Summary!J427,"")</f>
        <v/>
      </c>
      <c r="C426" s="44" t="str">
        <f>IF(Summary!E427+Summary!H427&gt;0,Summary!E427+Summary!H427,"")</f>
        <v/>
      </c>
      <c r="D426" s="40" t="str">
        <f>IF(Summary!L427&lt;&gt;"",Summary!L427,"")</f>
        <v/>
      </c>
      <c r="E426" s="40" t="str">
        <f>IF(Summary!M427&lt;&gt;"",Summary!M427,"")</f>
        <v/>
      </c>
      <c r="F426" s="20" t="str">
        <f>IF(Summary!N427&lt;&gt;"",Summary!N427,"")</f>
        <v/>
      </c>
      <c r="G426" s="20" t="str">
        <f>IF(Summary!O427&lt;&gt;"",Summary!O427,"")</f>
        <v/>
      </c>
    </row>
    <row r="427" spans="1:7">
      <c r="A427" s="39" t="str">
        <f>IF(Summary!A428&lt;&gt;"",Summary!A428,"")</f>
        <v/>
      </c>
      <c r="B427" s="21" t="str">
        <f>IF(Summary!J428&lt;&gt;"",Summary!J428,"")</f>
        <v/>
      </c>
      <c r="C427" s="44" t="str">
        <f>IF(Summary!E428+Summary!H428&gt;0,Summary!E428+Summary!H428,"")</f>
        <v/>
      </c>
      <c r="D427" s="40" t="str">
        <f>IF(Summary!L428&lt;&gt;"",Summary!L428,"")</f>
        <v/>
      </c>
      <c r="E427" s="40" t="str">
        <f>IF(Summary!M428&lt;&gt;"",Summary!M428,"")</f>
        <v/>
      </c>
      <c r="F427" s="20" t="str">
        <f>IF(Summary!N428&lt;&gt;"",Summary!N428,"")</f>
        <v/>
      </c>
      <c r="G427" s="20" t="str">
        <f>IF(Summary!O428&lt;&gt;"",Summary!O428,"")</f>
        <v/>
      </c>
    </row>
    <row r="428" spans="1:7">
      <c r="A428" s="39" t="str">
        <f>IF(Summary!A429&lt;&gt;"",Summary!A429,"")</f>
        <v/>
      </c>
      <c r="B428" s="21" t="str">
        <f>IF(Summary!J429&lt;&gt;"",Summary!J429,"")</f>
        <v/>
      </c>
      <c r="C428" s="44" t="str">
        <f>IF(Summary!E429+Summary!H429&gt;0,Summary!E429+Summary!H429,"")</f>
        <v/>
      </c>
      <c r="D428" s="40" t="str">
        <f>IF(Summary!L429&lt;&gt;"",Summary!L429,"")</f>
        <v/>
      </c>
      <c r="E428" s="40" t="str">
        <f>IF(Summary!M429&lt;&gt;"",Summary!M429,"")</f>
        <v/>
      </c>
      <c r="F428" s="20" t="str">
        <f>IF(Summary!N429&lt;&gt;"",Summary!N429,"")</f>
        <v/>
      </c>
      <c r="G428" s="20" t="str">
        <f>IF(Summary!O429&lt;&gt;"",Summary!O429,"")</f>
        <v/>
      </c>
    </row>
    <row r="429" spans="1:7">
      <c r="A429" s="39" t="str">
        <f>IF(Summary!A430&lt;&gt;"",Summary!A430,"")</f>
        <v/>
      </c>
      <c r="B429" s="21" t="str">
        <f>IF(Summary!J430&lt;&gt;"",Summary!J430,"")</f>
        <v/>
      </c>
      <c r="C429" s="44" t="str">
        <f>IF(Summary!E430+Summary!H430&gt;0,Summary!E430+Summary!H430,"")</f>
        <v/>
      </c>
      <c r="D429" s="40" t="str">
        <f>IF(Summary!L430&lt;&gt;"",Summary!L430,"")</f>
        <v/>
      </c>
      <c r="E429" s="40" t="str">
        <f>IF(Summary!M430&lt;&gt;"",Summary!M430,"")</f>
        <v/>
      </c>
      <c r="F429" s="20" t="str">
        <f>IF(Summary!N430&lt;&gt;"",Summary!N430,"")</f>
        <v/>
      </c>
      <c r="G429" s="20" t="str">
        <f>IF(Summary!O430&lt;&gt;"",Summary!O430,"")</f>
        <v/>
      </c>
    </row>
    <row r="430" spans="1:7">
      <c r="A430" s="39" t="str">
        <f>IF(Summary!A431&lt;&gt;"",Summary!A431,"")</f>
        <v/>
      </c>
      <c r="B430" s="21" t="str">
        <f>IF(Summary!J431&lt;&gt;"",Summary!J431,"")</f>
        <v/>
      </c>
      <c r="C430" s="44" t="str">
        <f>IF(Summary!E431+Summary!H431&gt;0,Summary!E431+Summary!H431,"")</f>
        <v/>
      </c>
      <c r="D430" s="40" t="str">
        <f>IF(Summary!L431&lt;&gt;"",Summary!L431,"")</f>
        <v/>
      </c>
      <c r="E430" s="40" t="str">
        <f>IF(Summary!M431&lt;&gt;"",Summary!M431,"")</f>
        <v/>
      </c>
      <c r="F430" s="20" t="str">
        <f>IF(Summary!N431&lt;&gt;"",Summary!N431,"")</f>
        <v/>
      </c>
      <c r="G430" s="20" t="str">
        <f>IF(Summary!O431&lt;&gt;"",Summary!O431,"")</f>
        <v/>
      </c>
    </row>
    <row r="431" spans="1:7">
      <c r="A431" s="39" t="str">
        <f>IF(Summary!A432&lt;&gt;"",Summary!A432,"")</f>
        <v/>
      </c>
      <c r="B431" s="21" t="str">
        <f>IF(Summary!J432&lt;&gt;"",Summary!J432,"")</f>
        <v/>
      </c>
      <c r="C431" s="44" t="str">
        <f>IF(Summary!E432+Summary!H432&gt;0,Summary!E432+Summary!H432,"")</f>
        <v/>
      </c>
      <c r="D431" s="40" t="str">
        <f>IF(Summary!L432&lt;&gt;"",Summary!L432,"")</f>
        <v/>
      </c>
      <c r="E431" s="40" t="str">
        <f>IF(Summary!M432&lt;&gt;"",Summary!M432,"")</f>
        <v/>
      </c>
      <c r="F431" s="20" t="str">
        <f>IF(Summary!N432&lt;&gt;"",Summary!N432,"")</f>
        <v/>
      </c>
      <c r="G431" s="20" t="str">
        <f>IF(Summary!O432&lt;&gt;"",Summary!O432,"")</f>
        <v/>
      </c>
    </row>
    <row r="432" spans="1:7">
      <c r="A432" s="39" t="str">
        <f>IF(Summary!A433&lt;&gt;"",Summary!A433,"")</f>
        <v/>
      </c>
      <c r="B432" s="21" t="str">
        <f>IF(Summary!J433&lt;&gt;"",Summary!J433,"")</f>
        <v/>
      </c>
      <c r="C432" s="44" t="str">
        <f>IF(Summary!E433+Summary!H433&gt;0,Summary!E433+Summary!H433,"")</f>
        <v/>
      </c>
      <c r="D432" s="40" t="str">
        <f>IF(Summary!L433&lt;&gt;"",Summary!L433,"")</f>
        <v/>
      </c>
      <c r="E432" s="40" t="str">
        <f>IF(Summary!M433&lt;&gt;"",Summary!M433,"")</f>
        <v/>
      </c>
      <c r="F432" s="20" t="str">
        <f>IF(Summary!N433&lt;&gt;"",Summary!N433,"")</f>
        <v/>
      </c>
      <c r="G432" s="20" t="str">
        <f>IF(Summary!O433&lt;&gt;"",Summary!O433,"")</f>
        <v/>
      </c>
    </row>
    <row r="433" spans="1:7">
      <c r="A433" s="39" t="str">
        <f>IF(Summary!A434&lt;&gt;"",Summary!A434,"")</f>
        <v/>
      </c>
      <c r="B433" s="21" t="str">
        <f>IF(Summary!J434&lt;&gt;"",Summary!J434,"")</f>
        <v/>
      </c>
      <c r="C433" s="44" t="str">
        <f>IF(Summary!E434+Summary!H434&gt;0,Summary!E434+Summary!H434,"")</f>
        <v/>
      </c>
      <c r="D433" s="40" t="str">
        <f>IF(Summary!L434&lt;&gt;"",Summary!L434,"")</f>
        <v/>
      </c>
      <c r="E433" s="40" t="str">
        <f>IF(Summary!M434&lt;&gt;"",Summary!M434,"")</f>
        <v/>
      </c>
      <c r="F433" s="20" t="str">
        <f>IF(Summary!N434&lt;&gt;"",Summary!N434,"")</f>
        <v/>
      </c>
      <c r="G433" s="20" t="str">
        <f>IF(Summary!O434&lt;&gt;"",Summary!O434,"")</f>
        <v/>
      </c>
    </row>
    <row r="434" spans="1:7">
      <c r="A434" s="39" t="str">
        <f>IF(Summary!A435&lt;&gt;"",Summary!A435,"")</f>
        <v/>
      </c>
      <c r="B434" s="21" t="str">
        <f>IF(Summary!J435&lt;&gt;"",Summary!J435,"")</f>
        <v/>
      </c>
      <c r="C434" s="44" t="str">
        <f>IF(Summary!E435+Summary!H435&gt;0,Summary!E435+Summary!H435,"")</f>
        <v/>
      </c>
      <c r="D434" s="40" t="str">
        <f>IF(Summary!L435&lt;&gt;"",Summary!L435,"")</f>
        <v/>
      </c>
      <c r="E434" s="40" t="str">
        <f>IF(Summary!M435&lt;&gt;"",Summary!M435,"")</f>
        <v/>
      </c>
      <c r="F434" s="20" t="str">
        <f>IF(Summary!N435&lt;&gt;"",Summary!N435,"")</f>
        <v/>
      </c>
      <c r="G434" s="20" t="str">
        <f>IF(Summary!O435&lt;&gt;"",Summary!O435,"")</f>
        <v/>
      </c>
    </row>
    <row r="435" spans="1:7">
      <c r="A435" s="39" t="str">
        <f>IF(Summary!A436&lt;&gt;"",Summary!A436,"")</f>
        <v/>
      </c>
      <c r="B435" s="21" t="str">
        <f>IF(Summary!J436&lt;&gt;"",Summary!J436,"")</f>
        <v/>
      </c>
      <c r="C435" s="44" t="str">
        <f>IF(Summary!E436+Summary!H436&gt;0,Summary!E436+Summary!H436,"")</f>
        <v/>
      </c>
      <c r="D435" s="40" t="str">
        <f>IF(Summary!L436&lt;&gt;"",Summary!L436,"")</f>
        <v/>
      </c>
      <c r="E435" s="40" t="str">
        <f>IF(Summary!M436&lt;&gt;"",Summary!M436,"")</f>
        <v/>
      </c>
      <c r="F435" s="20" t="str">
        <f>IF(Summary!N436&lt;&gt;"",Summary!N436,"")</f>
        <v/>
      </c>
      <c r="G435" s="20" t="str">
        <f>IF(Summary!O436&lt;&gt;"",Summary!O436,"")</f>
        <v/>
      </c>
    </row>
    <row r="436" spans="1:7">
      <c r="A436" s="39" t="str">
        <f>IF(Summary!A437&lt;&gt;"",Summary!A437,"")</f>
        <v/>
      </c>
      <c r="B436" s="21" t="str">
        <f>IF(Summary!J437&lt;&gt;"",Summary!J437,"")</f>
        <v/>
      </c>
      <c r="C436" s="44" t="str">
        <f>IF(Summary!E437+Summary!H437&gt;0,Summary!E437+Summary!H437,"")</f>
        <v/>
      </c>
      <c r="D436" s="40" t="str">
        <f>IF(Summary!L437&lt;&gt;"",Summary!L437,"")</f>
        <v/>
      </c>
      <c r="E436" s="40" t="str">
        <f>IF(Summary!M437&lt;&gt;"",Summary!M437,"")</f>
        <v/>
      </c>
      <c r="F436" s="20" t="str">
        <f>IF(Summary!N437&lt;&gt;"",Summary!N437,"")</f>
        <v/>
      </c>
      <c r="G436" s="20" t="str">
        <f>IF(Summary!O437&lt;&gt;"",Summary!O437,"")</f>
        <v/>
      </c>
    </row>
    <row r="437" spans="1:7">
      <c r="A437" s="39" t="str">
        <f>IF(Summary!A438&lt;&gt;"",Summary!A438,"")</f>
        <v/>
      </c>
      <c r="B437" s="21" t="str">
        <f>IF(Summary!J438&lt;&gt;"",Summary!J438,"")</f>
        <v/>
      </c>
      <c r="C437" s="44" t="str">
        <f>IF(Summary!E438+Summary!H438&gt;0,Summary!E438+Summary!H438,"")</f>
        <v/>
      </c>
      <c r="D437" s="40" t="str">
        <f>IF(Summary!L438&lt;&gt;"",Summary!L438,"")</f>
        <v/>
      </c>
      <c r="E437" s="40" t="str">
        <f>IF(Summary!M438&lt;&gt;"",Summary!M438,"")</f>
        <v/>
      </c>
      <c r="F437" s="20" t="str">
        <f>IF(Summary!N438&lt;&gt;"",Summary!N438,"")</f>
        <v/>
      </c>
      <c r="G437" s="20" t="str">
        <f>IF(Summary!O438&lt;&gt;"",Summary!O438,"")</f>
        <v/>
      </c>
    </row>
    <row r="438" spans="1:7">
      <c r="A438" s="39" t="str">
        <f>IF(Summary!A439&lt;&gt;"",Summary!A439,"")</f>
        <v/>
      </c>
      <c r="B438" s="21" t="str">
        <f>IF(Summary!J439&lt;&gt;"",Summary!J439,"")</f>
        <v/>
      </c>
      <c r="C438" s="44" t="str">
        <f>IF(Summary!E439+Summary!H439&gt;0,Summary!E439+Summary!H439,"")</f>
        <v/>
      </c>
      <c r="D438" s="40" t="str">
        <f>IF(Summary!L439&lt;&gt;"",Summary!L439,"")</f>
        <v/>
      </c>
      <c r="E438" s="40" t="str">
        <f>IF(Summary!M439&lt;&gt;"",Summary!M439,"")</f>
        <v/>
      </c>
      <c r="F438" s="20" t="str">
        <f>IF(Summary!N439&lt;&gt;"",Summary!N439,"")</f>
        <v/>
      </c>
      <c r="G438" s="20" t="str">
        <f>IF(Summary!O439&lt;&gt;"",Summary!O439,"")</f>
        <v/>
      </c>
    </row>
    <row r="439" spans="1:7">
      <c r="A439" s="39" t="str">
        <f>IF(Summary!A440&lt;&gt;"",Summary!A440,"")</f>
        <v/>
      </c>
      <c r="B439" s="21" t="str">
        <f>IF(Summary!J440&lt;&gt;"",Summary!J440,"")</f>
        <v/>
      </c>
      <c r="C439" s="44" t="str">
        <f>IF(Summary!E440+Summary!H440&gt;0,Summary!E440+Summary!H440,"")</f>
        <v/>
      </c>
      <c r="D439" s="40" t="str">
        <f>IF(Summary!L440&lt;&gt;"",Summary!L440,"")</f>
        <v/>
      </c>
      <c r="E439" s="40" t="str">
        <f>IF(Summary!M440&lt;&gt;"",Summary!M440,"")</f>
        <v/>
      </c>
      <c r="F439" s="20" t="str">
        <f>IF(Summary!N440&lt;&gt;"",Summary!N440,"")</f>
        <v/>
      </c>
      <c r="G439" s="20" t="str">
        <f>IF(Summary!O440&lt;&gt;"",Summary!O440,"")</f>
        <v/>
      </c>
    </row>
    <row r="440" spans="1:7">
      <c r="A440" s="39" t="str">
        <f>IF(Summary!A441&lt;&gt;"",Summary!A441,"")</f>
        <v/>
      </c>
      <c r="B440" s="21" t="str">
        <f>IF(Summary!J441&lt;&gt;"",Summary!J441,"")</f>
        <v/>
      </c>
      <c r="C440" s="44" t="str">
        <f>IF(Summary!E441+Summary!H441&gt;0,Summary!E441+Summary!H441,"")</f>
        <v/>
      </c>
      <c r="D440" s="40" t="str">
        <f>IF(Summary!L441&lt;&gt;"",Summary!L441,"")</f>
        <v/>
      </c>
      <c r="E440" s="40" t="str">
        <f>IF(Summary!M441&lt;&gt;"",Summary!M441,"")</f>
        <v/>
      </c>
      <c r="F440" s="20" t="str">
        <f>IF(Summary!N441&lt;&gt;"",Summary!N441,"")</f>
        <v/>
      </c>
      <c r="G440" s="20" t="str">
        <f>IF(Summary!O441&lt;&gt;"",Summary!O441,"")</f>
        <v/>
      </c>
    </row>
    <row r="441" spans="1:7">
      <c r="A441" s="39" t="str">
        <f>IF(Summary!A442&lt;&gt;"",Summary!A442,"")</f>
        <v/>
      </c>
      <c r="B441" s="21" t="str">
        <f>IF(Summary!J442&lt;&gt;"",Summary!J442,"")</f>
        <v/>
      </c>
      <c r="C441" s="44" t="str">
        <f>IF(Summary!E442+Summary!H442&gt;0,Summary!E442+Summary!H442,"")</f>
        <v/>
      </c>
      <c r="D441" s="40" t="str">
        <f>IF(Summary!L442&lt;&gt;"",Summary!L442,"")</f>
        <v/>
      </c>
      <c r="E441" s="40" t="str">
        <f>IF(Summary!M442&lt;&gt;"",Summary!M442,"")</f>
        <v/>
      </c>
      <c r="F441" s="20" t="str">
        <f>IF(Summary!N442&lt;&gt;"",Summary!N442,"")</f>
        <v/>
      </c>
      <c r="G441" s="20" t="str">
        <f>IF(Summary!O442&lt;&gt;"",Summary!O442,"")</f>
        <v/>
      </c>
    </row>
    <row r="442" spans="1:7">
      <c r="A442" s="39" t="str">
        <f>IF(Summary!A443&lt;&gt;"",Summary!A443,"")</f>
        <v/>
      </c>
      <c r="B442" s="21" t="str">
        <f>IF(Summary!J443&lt;&gt;"",Summary!J443,"")</f>
        <v/>
      </c>
      <c r="C442" s="44" t="str">
        <f>IF(Summary!E443+Summary!H443&gt;0,Summary!E443+Summary!H443,"")</f>
        <v/>
      </c>
      <c r="D442" s="40" t="str">
        <f>IF(Summary!L443&lt;&gt;"",Summary!L443,"")</f>
        <v/>
      </c>
      <c r="E442" s="40" t="str">
        <f>IF(Summary!M443&lt;&gt;"",Summary!M443,"")</f>
        <v/>
      </c>
      <c r="F442" s="20" t="str">
        <f>IF(Summary!N443&lt;&gt;"",Summary!N443,"")</f>
        <v/>
      </c>
      <c r="G442" s="20" t="str">
        <f>IF(Summary!O443&lt;&gt;"",Summary!O443,"")</f>
        <v/>
      </c>
    </row>
    <row r="443" spans="1:7">
      <c r="A443" s="39" t="str">
        <f>IF(Summary!A444&lt;&gt;"",Summary!A444,"")</f>
        <v/>
      </c>
      <c r="B443" s="21" t="str">
        <f>IF(Summary!J444&lt;&gt;"",Summary!J444,"")</f>
        <v/>
      </c>
      <c r="C443" s="44" t="str">
        <f>IF(Summary!E444+Summary!H444&gt;0,Summary!E444+Summary!H444,"")</f>
        <v/>
      </c>
      <c r="D443" s="40" t="str">
        <f>IF(Summary!L444&lt;&gt;"",Summary!L444,"")</f>
        <v/>
      </c>
      <c r="E443" s="40" t="str">
        <f>IF(Summary!M444&lt;&gt;"",Summary!M444,"")</f>
        <v/>
      </c>
      <c r="F443" s="20" t="str">
        <f>IF(Summary!N444&lt;&gt;"",Summary!N444,"")</f>
        <v/>
      </c>
      <c r="G443" s="20" t="str">
        <f>IF(Summary!O444&lt;&gt;"",Summary!O444,"")</f>
        <v/>
      </c>
    </row>
    <row r="444" spans="1:7">
      <c r="A444" s="39" t="str">
        <f>IF(Summary!A445&lt;&gt;"",Summary!A445,"")</f>
        <v/>
      </c>
      <c r="B444" s="21" t="str">
        <f>IF(Summary!J445&lt;&gt;"",Summary!J445,"")</f>
        <v/>
      </c>
      <c r="C444" s="44" t="str">
        <f>IF(Summary!E445+Summary!H445&gt;0,Summary!E445+Summary!H445,"")</f>
        <v/>
      </c>
      <c r="D444" s="40" t="str">
        <f>IF(Summary!L445&lt;&gt;"",Summary!L445,"")</f>
        <v/>
      </c>
      <c r="E444" s="40" t="str">
        <f>IF(Summary!M445&lt;&gt;"",Summary!M445,"")</f>
        <v/>
      </c>
      <c r="F444" s="20" t="str">
        <f>IF(Summary!N445&lt;&gt;"",Summary!N445,"")</f>
        <v/>
      </c>
      <c r="G444" s="20" t="str">
        <f>IF(Summary!O445&lt;&gt;"",Summary!O445,"")</f>
        <v/>
      </c>
    </row>
    <row r="445" spans="1:7">
      <c r="A445" s="39" t="str">
        <f>IF(Summary!A446&lt;&gt;"",Summary!A446,"")</f>
        <v/>
      </c>
      <c r="B445" s="21" t="str">
        <f>IF(Summary!J446&lt;&gt;"",Summary!J446,"")</f>
        <v/>
      </c>
      <c r="C445" s="44" t="str">
        <f>IF(Summary!E446+Summary!H446&gt;0,Summary!E446+Summary!H446,"")</f>
        <v/>
      </c>
      <c r="D445" s="40" t="str">
        <f>IF(Summary!L446&lt;&gt;"",Summary!L446,"")</f>
        <v/>
      </c>
      <c r="E445" s="40" t="str">
        <f>IF(Summary!M446&lt;&gt;"",Summary!M446,"")</f>
        <v/>
      </c>
      <c r="F445" s="20" t="str">
        <f>IF(Summary!N446&lt;&gt;"",Summary!N446,"")</f>
        <v/>
      </c>
      <c r="G445" s="20" t="str">
        <f>IF(Summary!O446&lt;&gt;"",Summary!O446,"")</f>
        <v/>
      </c>
    </row>
    <row r="446" spans="1:7">
      <c r="A446" s="39" t="str">
        <f>IF(Summary!A447&lt;&gt;"",Summary!A447,"")</f>
        <v/>
      </c>
      <c r="B446" s="21" t="str">
        <f>IF(Summary!J447&lt;&gt;"",Summary!J447,"")</f>
        <v/>
      </c>
      <c r="C446" s="44" t="str">
        <f>IF(Summary!E447+Summary!H447&gt;0,Summary!E447+Summary!H447,"")</f>
        <v/>
      </c>
      <c r="D446" s="40" t="str">
        <f>IF(Summary!L447&lt;&gt;"",Summary!L447,"")</f>
        <v/>
      </c>
      <c r="E446" s="40" t="str">
        <f>IF(Summary!M447&lt;&gt;"",Summary!M447,"")</f>
        <v/>
      </c>
      <c r="F446" s="20" t="str">
        <f>IF(Summary!N447&lt;&gt;"",Summary!N447,"")</f>
        <v/>
      </c>
      <c r="G446" s="20" t="str">
        <f>IF(Summary!O447&lt;&gt;"",Summary!O447,"")</f>
        <v/>
      </c>
    </row>
    <row r="447" spans="1:7">
      <c r="A447" s="39" t="str">
        <f>IF(Summary!A448&lt;&gt;"",Summary!A448,"")</f>
        <v/>
      </c>
      <c r="B447" s="21" t="str">
        <f>IF(Summary!J448&lt;&gt;"",Summary!J448,"")</f>
        <v/>
      </c>
      <c r="C447" s="44" t="str">
        <f>IF(Summary!E448+Summary!H448&gt;0,Summary!E448+Summary!H448,"")</f>
        <v/>
      </c>
      <c r="D447" s="40" t="str">
        <f>IF(Summary!L448&lt;&gt;"",Summary!L448,"")</f>
        <v/>
      </c>
      <c r="E447" s="40" t="str">
        <f>IF(Summary!M448&lt;&gt;"",Summary!M448,"")</f>
        <v/>
      </c>
      <c r="F447" s="20" t="str">
        <f>IF(Summary!N448&lt;&gt;"",Summary!N448,"")</f>
        <v/>
      </c>
      <c r="G447" s="20" t="str">
        <f>IF(Summary!O448&lt;&gt;"",Summary!O448,"")</f>
        <v/>
      </c>
    </row>
    <row r="448" spans="1:7">
      <c r="A448" s="39" t="str">
        <f>IF(Summary!A449&lt;&gt;"",Summary!A449,"")</f>
        <v/>
      </c>
      <c r="B448" s="21" t="str">
        <f>IF(Summary!J449&lt;&gt;"",Summary!J449,"")</f>
        <v/>
      </c>
      <c r="C448" s="44" t="str">
        <f>IF(Summary!E449+Summary!H449&gt;0,Summary!E449+Summary!H449,"")</f>
        <v/>
      </c>
      <c r="D448" s="40" t="str">
        <f>IF(Summary!L449&lt;&gt;"",Summary!L449,"")</f>
        <v/>
      </c>
      <c r="E448" s="40" t="str">
        <f>IF(Summary!M449&lt;&gt;"",Summary!M449,"")</f>
        <v/>
      </c>
      <c r="F448" s="20" t="str">
        <f>IF(Summary!N449&lt;&gt;"",Summary!N449,"")</f>
        <v/>
      </c>
      <c r="G448" s="20" t="str">
        <f>IF(Summary!O449&lt;&gt;"",Summary!O449,"")</f>
        <v/>
      </c>
    </row>
    <row r="449" spans="1:7">
      <c r="A449" s="39" t="str">
        <f>IF(Summary!A450&lt;&gt;"",Summary!A450,"")</f>
        <v/>
      </c>
      <c r="B449" s="21" t="str">
        <f>IF(Summary!J450&lt;&gt;"",Summary!J450,"")</f>
        <v/>
      </c>
      <c r="C449" s="44" t="str">
        <f>IF(Summary!E450+Summary!H450&gt;0,Summary!E450+Summary!H450,"")</f>
        <v/>
      </c>
      <c r="D449" s="40" t="str">
        <f>IF(Summary!L450&lt;&gt;"",Summary!L450,"")</f>
        <v/>
      </c>
      <c r="E449" s="40" t="str">
        <f>IF(Summary!M450&lt;&gt;"",Summary!M450,"")</f>
        <v/>
      </c>
      <c r="F449" s="20" t="str">
        <f>IF(Summary!N450&lt;&gt;"",Summary!N450,"")</f>
        <v/>
      </c>
      <c r="G449" s="20" t="str">
        <f>IF(Summary!O450&lt;&gt;"",Summary!O450,"")</f>
        <v/>
      </c>
    </row>
    <row r="450" spans="1:7">
      <c r="A450" s="39" t="str">
        <f>IF(Summary!A451&lt;&gt;"",Summary!A451,"")</f>
        <v/>
      </c>
      <c r="B450" s="21" t="str">
        <f>IF(Summary!J451&lt;&gt;"",Summary!J451,"")</f>
        <v/>
      </c>
      <c r="C450" s="44" t="str">
        <f>IF(Summary!E451+Summary!H451&gt;0,Summary!E451+Summary!H451,"")</f>
        <v/>
      </c>
      <c r="D450" s="40" t="str">
        <f>IF(Summary!L451&lt;&gt;"",Summary!L451,"")</f>
        <v/>
      </c>
      <c r="E450" s="40" t="str">
        <f>IF(Summary!M451&lt;&gt;"",Summary!M451,"")</f>
        <v/>
      </c>
      <c r="F450" s="20" t="str">
        <f>IF(Summary!N451&lt;&gt;"",Summary!N451,"")</f>
        <v/>
      </c>
      <c r="G450" s="20" t="str">
        <f>IF(Summary!O451&lt;&gt;"",Summary!O451,"")</f>
        <v/>
      </c>
    </row>
    <row r="451" spans="1:7">
      <c r="A451" s="39" t="str">
        <f>IF(Summary!A452&lt;&gt;"",Summary!A452,"")</f>
        <v/>
      </c>
      <c r="B451" s="21" t="str">
        <f>IF(Summary!J452&lt;&gt;"",Summary!J452,"")</f>
        <v/>
      </c>
      <c r="C451" s="44" t="str">
        <f>IF(Summary!E452+Summary!H452&gt;0,Summary!E452+Summary!H452,"")</f>
        <v/>
      </c>
      <c r="D451" s="40" t="str">
        <f>IF(Summary!L452&lt;&gt;"",Summary!L452,"")</f>
        <v/>
      </c>
      <c r="E451" s="40" t="str">
        <f>IF(Summary!M452&lt;&gt;"",Summary!M452,"")</f>
        <v/>
      </c>
      <c r="F451" s="20" t="str">
        <f>IF(Summary!N452&lt;&gt;"",Summary!N452,"")</f>
        <v/>
      </c>
      <c r="G451" s="20" t="str">
        <f>IF(Summary!O452&lt;&gt;"",Summary!O452,"")</f>
        <v/>
      </c>
    </row>
    <row r="452" spans="1:7">
      <c r="A452" s="39" t="str">
        <f>IF(Summary!A453&lt;&gt;"",Summary!A453,"")</f>
        <v/>
      </c>
      <c r="B452" s="21" t="str">
        <f>IF(Summary!J453&lt;&gt;"",Summary!J453,"")</f>
        <v/>
      </c>
      <c r="C452" s="44" t="str">
        <f>IF(Summary!E453+Summary!H453&gt;0,Summary!E453+Summary!H453,"")</f>
        <v/>
      </c>
      <c r="D452" s="40" t="str">
        <f>IF(Summary!L453&lt;&gt;"",Summary!L453,"")</f>
        <v/>
      </c>
      <c r="E452" s="40" t="str">
        <f>IF(Summary!M453&lt;&gt;"",Summary!M453,"")</f>
        <v/>
      </c>
      <c r="F452" s="20" t="str">
        <f>IF(Summary!N453&lt;&gt;"",Summary!N453,"")</f>
        <v/>
      </c>
      <c r="G452" s="20" t="str">
        <f>IF(Summary!O453&lt;&gt;"",Summary!O453,"")</f>
        <v/>
      </c>
    </row>
    <row r="453" spans="1:7">
      <c r="A453" s="39" t="str">
        <f>IF(Summary!A454&lt;&gt;"",Summary!A454,"")</f>
        <v/>
      </c>
      <c r="B453" s="21" t="str">
        <f>IF(Summary!J454&lt;&gt;"",Summary!J454,"")</f>
        <v/>
      </c>
      <c r="C453" s="44" t="str">
        <f>IF(Summary!E454+Summary!H454&gt;0,Summary!E454+Summary!H454,"")</f>
        <v/>
      </c>
      <c r="D453" s="40" t="str">
        <f>IF(Summary!L454&lt;&gt;"",Summary!L454,"")</f>
        <v/>
      </c>
      <c r="E453" s="40" t="str">
        <f>IF(Summary!M454&lt;&gt;"",Summary!M454,"")</f>
        <v/>
      </c>
      <c r="F453" s="20" t="str">
        <f>IF(Summary!N454&lt;&gt;"",Summary!N454,"")</f>
        <v/>
      </c>
      <c r="G453" s="20" t="str">
        <f>IF(Summary!O454&lt;&gt;"",Summary!O454,"")</f>
        <v/>
      </c>
    </row>
    <row r="454" spans="1:7">
      <c r="A454" s="39" t="str">
        <f>IF(Summary!A455&lt;&gt;"",Summary!A455,"")</f>
        <v/>
      </c>
      <c r="B454" s="21" t="str">
        <f>IF(Summary!J455&lt;&gt;"",Summary!J455,"")</f>
        <v/>
      </c>
      <c r="C454" s="44" t="str">
        <f>IF(Summary!E455+Summary!H455&gt;0,Summary!E455+Summary!H455,"")</f>
        <v/>
      </c>
      <c r="D454" s="40" t="str">
        <f>IF(Summary!L455&lt;&gt;"",Summary!L455,"")</f>
        <v/>
      </c>
      <c r="E454" s="40" t="str">
        <f>IF(Summary!M455&lt;&gt;"",Summary!M455,"")</f>
        <v/>
      </c>
      <c r="F454" s="20" t="str">
        <f>IF(Summary!N455&lt;&gt;"",Summary!N455,"")</f>
        <v/>
      </c>
      <c r="G454" s="20" t="str">
        <f>IF(Summary!O455&lt;&gt;"",Summary!O455,"")</f>
        <v/>
      </c>
    </row>
    <row r="455" spans="1:7">
      <c r="A455" s="39" t="str">
        <f>IF(Summary!A456&lt;&gt;"",Summary!A456,"")</f>
        <v/>
      </c>
      <c r="B455" s="21" t="str">
        <f>IF(Summary!J456&lt;&gt;"",Summary!J456,"")</f>
        <v/>
      </c>
      <c r="C455" s="44" t="str">
        <f>IF(Summary!E456+Summary!H456&gt;0,Summary!E456+Summary!H456,"")</f>
        <v/>
      </c>
      <c r="D455" s="40" t="str">
        <f>IF(Summary!L456&lt;&gt;"",Summary!L456,"")</f>
        <v/>
      </c>
      <c r="E455" s="40" t="str">
        <f>IF(Summary!M456&lt;&gt;"",Summary!M456,"")</f>
        <v/>
      </c>
      <c r="F455" s="20" t="str">
        <f>IF(Summary!N456&lt;&gt;"",Summary!N456,"")</f>
        <v/>
      </c>
      <c r="G455" s="20" t="str">
        <f>IF(Summary!O456&lt;&gt;"",Summary!O456,"")</f>
        <v/>
      </c>
    </row>
    <row r="456" spans="1:7">
      <c r="A456" s="39" t="str">
        <f>IF(Summary!A457&lt;&gt;"",Summary!A457,"")</f>
        <v/>
      </c>
      <c r="B456" s="21" t="str">
        <f>IF(Summary!J457&lt;&gt;"",Summary!J457,"")</f>
        <v/>
      </c>
      <c r="C456" s="44" t="str">
        <f>IF(Summary!E457+Summary!H457&gt;0,Summary!E457+Summary!H457,"")</f>
        <v/>
      </c>
      <c r="D456" s="40" t="str">
        <f>IF(Summary!L457&lt;&gt;"",Summary!L457,"")</f>
        <v/>
      </c>
      <c r="E456" s="40" t="str">
        <f>IF(Summary!M457&lt;&gt;"",Summary!M457,"")</f>
        <v/>
      </c>
      <c r="F456" s="20" t="str">
        <f>IF(Summary!N457&lt;&gt;"",Summary!N457,"")</f>
        <v/>
      </c>
      <c r="G456" s="20" t="str">
        <f>IF(Summary!O457&lt;&gt;"",Summary!O457,"")</f>
        <v/>
      </c>
    </row>
    <row r="457" spans="1:7">
      <c r="A457" s="39" t="str">
        <f>IF(Summary!A458&lt;&gt;"",Summary!A458,"")</f>
        <v/>
      </c>
      <c r="B457" s="21" t="str">
        <f>IF(Summary!J458&lt;&gt;"",Summary!J458,"")</f>
        <v/>
      </c>
      <c r="C457" s="44" t="str">
        <f>IF(Summary!E458+Summary!H458&gt;0,Summary!E458+Summary!H458,"")</f>
        <v/>
      </c>
      <c r="D457" s="40" t="str">
        <f>IF(Summary!L458&lt;&gt;"",Summary!L458,"")</f>
        <v/>
      </c>
      <c r="E457" s="40" t="str">
        <f>IF(Summary!M458&lt;&gt;"",Summary!M458,"")</f>
        <v/>
      </c>
      <c r="F457" s="20" t="str">
        <f>IF(Summary!N458&lt;&gt;"",Summary!N458,"")</f>
        <v/>
      </c>
      <c r="G457" s="20" t="str">
        <f>IF(Summary!O458&lt;&gt;"",Summary!O458,"")</f>
        <v/>
      </c>
    </row>
    <row r="458" spans="1:7">
      <c r="A458" s="39" t="str">
        <f>IF(Summary!A459&lt;&gt;"",Summary!A459,"")</f>
        <v/>
      </c>
      <c r="B458" s="21" t="str">
        <f>IF(Summary!J459&lt;&gt;"",Summary!J459,"")</f>
        <v/>
      </c>
      <c r="C458" s="44" t="str">
        <f>IF(Summary!E459+Summary!H459&gt;0,Summary!E459+Summary!H459,"")</f>
        <v/>
      </c>
      <c r="D458" s="40" t="str">
        <f>IF(Summary!L459&lt;&gt;"",Summary!L459,"")</f>
        <v/>
      </c>
      <c r="E458" s="40" t="str">
        <f>IF(Summary!M459&lt;&gt;"",Summary!M459,"")</f>
        <v/>
      </c>
      <c r="F458" s="20" t="str">
        <f>IF(Summary!N459&lt;&gt;"",Summary!N459,"")</f>
        <v/>
      </c>
      <c r="G458" s="20" t="str">
        <f>IF(Summary!O459&lt;&gt;"",Summary!O459,"")</f>
        <v/>
      </c>
    </row>
    <row r="459" spans="1:7">
      <c r="A459" s="39" t="str">
        <f>IF(Summary!A460&lt;&gt;"",Summary!A460,"")</f>
        <v/>
      </c>
      <c r="B459" s="21" t="str">
        <f>IF(Summary!J460&lt;&gt;"",Summary!J460,"")</f>
        <v/>
      </c>
      <c r="C459" s="44" t="str">
        <f>IF(Summary!E460+Summary!H460&gt;0,Summary!E460+Summary!H460,"")</f>
        <v/>
      </c>
      <c r="D459" s="40" t="str">
        <f>IF(Summary!L460&lt;&gt;"",Summary!L460,"")</f>
        <v/>
      </c>
      <c r="E459" s="40" t="str">
        <f>IF(Summary!M460&lt;&gt;"",Summary!M460,"")</f>
        <v/>
      </c>
      <c r="F459" s="20" t="str">
        <f>IF(Summary!N460&lt;&gt;"",Summary!N460,"")</f>
        <v/>
      </c>
      <c r="G459" s="20" t="str">
        <f>IF(Summary!O460&lt;&gt;"",Summary!O460,"")</f>
        <v/>
      </c>
    </row>
    <row r="460" spans="1:7">
      <c r="A460" s="39" t="str">
        <f>IF(Summary!A461&lt;&gt;"",Summary!A461,"")</f>
        <v/>
      </c>
      <c r="B460" s="21" t="str">
        <f>IF(Summary!J461&lt;&gt;"",Summary!J461,"")</f>
        <v/>
      </c>
      <c r="C460" s="44" t="str">
        <f>IF(Summary!E461+Summary!H461&gt;0,Summary!E461+Summary!H461,"")</f>
        <v/>
      </c>
      <c r="D460" s="40" t="str">
        <f>IF(Summary!L461&lt;&gt;"",Summary!L461,"")</f>
        <v/>
      </c>
      <c r="E460" s="40" t="str">
        <f>IF(Summary!M461&lt;&gt;"",Summary!M461,"")</f>
        <v/>
      </c>
      <c r="F460" s="20" t="str">
        <f>IF(Summary!N461&lt;&gt;"",Summary!N461,"")</f>
        <v/>
      </c>
      <c r="G460" s="20" t="str">
        <f>IF(Summary!O461&lt;&gt;"",Summary!O461,"")</f>
        <v/>
      </c>
    </row>
    <row r="461" spans="1:7">
      <c r="A461" s="39" t="str">
        <f>IF(Summary!A462&lt;&gt;"",Summary!A462,"")</f>
        <v/>
      </c>
      <c r="B461" s="21" t="str">
        <f>IF(Summary!J462&lt;&gt;"",Summary!J462,"")</f>
        <v/>
      </c>
      <c r="C461" s="44" t="str">
        <f>IF(Summary!E462+Summary!H462&gt;0,Summary!E462+Summary!H462,"")</f>
        <v/>
      </c>
      <c r="D461" s="40" t="str">
        <f>IF(Summary!L462&lt;&gt;"",Summary!L462,"")</f>
        <v/>
      </c>
      <c r="E461" s="40" t="str">
        <f>IF(Summary!M462&lt;&gt;"",Summary!M462,"")</f>
        <v/>
      </c>
      <c r="F461" s="20" t="str">
        <f>IF(Summary!N462&lt;&gt;"",Summary!N462,"")</f>
        <v/>
      </c>
      <c r="G461" s="20" t="str">
        <f>IF(Summary!O462&lt;&gt;"",Summary!O462,"")</f>
        <v/>
      </c>
    </row>
    <row r="462" spans="1:7">
      <c r="A462" s="39" t="str">
        <f>IF(Summary!A463&lt;&gt;"",Summary!A463,"")</f>
        <v/>
      </c>
      <c r="B462" s="21" t="str">
        <f>IF(Summary!J463&lt;&gt;"",Summary!J463,"")</f>
        <v/>
      </c>
      <c r="C462" s="44" t="str">
        <f>IF(Summary!E463+Summary!H463&gt;0,Summary!E463+Summary!H463,"")</f>
        <v/>
      </c>
      <c r="D462" s="40" t="str">
        <f>IF(Summary!L463&lt;&gt;"",Summary!L463,"")</f>
        <v/>
      </c>
      <c r="E462" s="40" t="str">
        <f>IF(Summary!M463&lt;&gt;"",Summary!M463,"")</f>
        <v/>
      </c>
      <c r="F462" s="20" t="str">
        <f>IF(Summary!N463&lt;&gt;"",Summary!N463,"")</f>
        <v/>
      </c>
      <c r="G462" s="20" t="str">
        <f>IF(Summary!O463&lt;&gt;"",Summary!O463,"")</f>
        <v/>
      </c>
    </row>
    <row r="463" spans="1:7">
      <c r="A463" s="39" t="str">
        <f>IF(Summary!A464&lt;&gt;"",Summary!A464,"")</f>
        <v/>
      </c>
      <c r="B463" s="21" t="str">
        <f>IF(Summary!J464&lt;&gt;"",Summary!J464,"")</f>
        <v/>
      </c>
      <c r="C463" s="44" t="str">
        <f>IF(Summary!E464+Summary!H464&gt;0,Summary!E464+Summary!H464,"")</f>
        <v/>
      </c>
      <c r="D463" s="40" t="str">
        <f>IF(Summary!L464&lt;&gt;"",Summary!L464,"")</f>
        <v/>
      </c>
      <c r="E463" s="40" t="str">
        <f>IF(Summary!M464&lt;&gt;"",Summary!M464,"")</f>
        <v/>
      </c>
      <c r="F463" s="20" t="str">
        <f>IF(Summary!N464&lt;&gt;"",Summary!N464,"")</f>
        <v/>
      </c>
      <c r="G463" s="20" t="str">
        <f>IF(Summary!O464&lt;&gt;"",Summary!O464,"")</f>
        <v/>
      </c>
    </row>
    <row r="464" spans="1:7">
      <c r="A464" s="39" t="str">
        <f>IF(Summary!A465&lt;&gt;"",Summary!A465,"")</f>
        <v/>
      </c>
      <c r="B464" s="21" t="str">
        <f>IF(Summary!J465&lt;&gt;"",Summary!J465,"")</f>
        <v/>
      </c>
      <c r="C464" s="44" t="str">
        <f>IF(Summary!E465+Summary!H465&gt;0,Summary!E465+Summary!H465,"")</f>
        <v/>
      </c>
      <c r="D464" s="40" t="str">
        <f>IF(Summary!L465&lt;&gt;"",Summary!L465,"")</f>
        <v/>
      </c>
      <c r="E464" s="40" t="str">
        <f>IF(Summary!M465&lt;&gt;"",Summary!M465,"")</f>
        <v/>
      </c>
      <c r="F464" s="20" t="str">
        <f>IF(Summary!N465&lt;&gt;"",Summary!N465,"")</f>
        <v/>
      </c>
      <c r="G464" s="20" t="str">
        <f>IF(Summary!O465&lt;&gt;"",Summary!O465,"")</f>
        <v/>
      </c>
    </row>
    <row r="465" spans="1:7">
      <c r="A465" s="39" t="str">
        <f>IF(Summary!A466&lt;&gt;"",Summary!A466,"")</f>
        <v/>
      </c>
      <c r="B465" s="21" t="str">
        <f>IF(Summary!J466&lt;&gt;"",Summary!J466,"")</f>
        <v/>
      </c>
      <c r="C465" s="44" t="str">
        <f>IF(Summary!E466+Summary!H466&gt;0,Summary!E466+Summary!H466,"")</f>
        <v/>
      </c>
      <c r="D465" s="40" t="str">
        <f>IF(Summary!L466&lt;&gt;"",Summary!L466,"")</f>
        <v/>
      </c>
      <c r="E465" s="40" t="str">
        <f>IF(Summary!M466&lt;&gt;"",Summary!M466,"")</f>
        <v/>
      </c>
      <c r="F465" s="20" t="str">
        <f>IF(Summary!N466&lt;&gt;"",Summary!N466,"")</f>
        <v/>
      </c>
      <c r="G465" s="20" t="str">
        <f>IF(Summary!O466&lt;&gt;"",Summary!O466,"")</f>
        <v/>
      </c>
    </row>
    <row r="466" spans="1:7">
      <c r="A466" s="39" t="str">
        <f>IF(Summary!A467&lt;&gt;"",Summary!A467,"")</f>
        <v/>
      </c>
      <c r="B466" s="21" t="str">
        <f>IF(Summary!J467&lt;&gt;"",Summary!J467,"")</f>
        <v/>
      </c>
      <c r="C466" s="44" t="str">
        <f>IF(Summary!E467+Summary!H467&gt;0,Summary!E467+Summary!H467,"")</f>
        <v/>
      </c>
      <c r="D466" s="40" t="str">
        <f>IF(Summary!L467&lt;&gt;"",Summary!L467,"")</f>
        <v/>
      </c>
      <c r="E466" s="40" t="str">
        <f>IF(Summary!M467&lt;&gt;"",Summary!M467,"")</f>
        <v/>
      </c>
      <c r="F466" s="20" t="str">
        <f>IF(Summary!N467&lt;&gt;"",Summary!N467,"")</f>
        <v/>
      </c>
      <c r="G466" s="20" t="str">
        <f>IF(Summary!O467&lt;&gt;"",Summary!O467,"")</f>
        <v/>
      </c>
    </row>
    <row r="467" spans="1:7">
      <c r="A467" s="39" t="str">
        <f>IF(Summary!A468&lt;&gt;"",Summary!A468,"")</f>
        <v/>
      </c>
      <c r="B467" s="21" t="str">
        <f>IF(Summary!J468&lt;&gt;"",Summary!J468,"")</f>
        <v/>
      </c>
      <c r="C467" s="44" t="str">
        <f>IF(Summary!E468+Summary!H468&gt;0,Summary!E468+Summary!H468,"")</f>
        <v/>
      </c>
      <c r="D467" s="40" t="str">
        <f>IF(Summary!L468&lt;&gt;"",Summary!L468,"")</f>
        <v/>
      </c>
      <c r="E467" s="40" t="str">
        <f>IF(Summary!M468&lt;&gt;"",Summary!M468,"")</f>
        <v/>
      </c>
      <c r="F467" s="20" t="str">
        <f>IF(Summary!N468&lt;&gt;"",Summary!N468,"")</f>
        <v/>
      </c>
      <c r="G467" s="20" t="str">
        <f>IF(Summary!O468&lt;&gt;"",Summary!O468,"")</f>
        <v/>
      </c>
    </row>
    <row r="468" spans="1:7">
      <c r="A468" s="39" t="str">
        <f>IF(Summary!A469&lt;&gt;"",Summary!A469,"")</f>
        <v/>
      </c>
      <c r="B468" s="21" t="str">
        <f>IF(Summary!J469&lt;&gt;"",Summary!J469,"")</f>
        <v/>
      </c>
      <c r="C468" s="44" t="str">
        <f>IF(Summary!E469+Summary!H469&gt;0,Summary!E469+Summary!H469,"")</f>
        <v/>
      </c>
      <c r="D468" s="40" t="str">
        <f>IF(Summary!L469&lt;&gt;"",Summary!L469,"")</f>
        <v/>
      </c>
      <c r="E468" s="40" t="str">
        <f>IF(Summary!M469&lt;&gt;"",Summary!M469,"")</f>
        <v/>
      </c>
      <c r="F468" s="20" t="str">
        <f>IF(Summary!N469&lt;&gt;"",Summary!N469,"")</f>
        <v/>
      </c>
      <c r="G468" s="20" t="str">
        <f>IF(Summary!O469&lt;&gt;"",Summary!O469,"")</f>
        <v/>
      </c>
    </row>
    <row r="469" spans="1:7">
      <c r="A469" s="39" t="str">
        <f>IF(Summary!A470&lt;&gt;"",Summary!A470,"")</f>
        <v/>
      </c>
      <c r="B469" s="21" t="str">
        <f>IF(Summary!J470&lt;&gt;"",Summary!J470,"")</f>
        <v/>
      </c>
      <c r="C469" s="44" t="str">
        <f>IF(Summary!E470+Summary!H470&gt;0,Summary!E470+Summary!H470,"")</f>
        <v/>
      </c>
      <c r="D469" s="40" t="str">
        <f>IF(Summary!L470&lt;&gt;"",Summary!L470,"")</f>
        <v/>
      </c>
      <c r="E469" s="40" t="str">
        <f>IF(Summary!M470&lt;&gt;"",Summary!M470,"")</f>
        <v/>
      </c>
      <c r="F469" s="20" t="str">
        <f>IF(Summary!N470&lt;&gt;"",Summary!N470,"")</f>
        <v/>
      </c>
      <c r="G469" s="20" t="str">
        <f>IF(Summary!O470&lt;&gt;"",Summary!O470,"")</f>
        <v/>
      </c>
    </row>
    <row r="470" spans="1:7">
      <c r="A470" s="39" t="str">
        <f>IF(Summary!A471&lt;&gt;"",Summary!A471,"")</f>
        <v/>
      </c>
      <c r="B470" s="21" t="str">
        <f>IF(Summary!J471&lt;&gt;"",Summary!J471,"")</f>
        <v/>
      </c>
      <c r="C470" s="44" t="str">
        <f>IF(Summary!E471+Summary!H471&gt;0,Summary!E471+Summary!H471,"")</f>
        <v/>
      </c>
      <c r="D470" s="40" t="str">
        <f>IF(Summary!L471&lt;&gt;"",Summary!L471,"")</f>
        <v/>
      </c>
      <c r="E470" s="40" t="str">
        <f>IF(Summary!M471&lt;&gt;"",Summary!M471,"")</f>
        <v/>
      </c>
      <c r="F470" s="20" t="str">
        <f>IF(Summary!N471&lt;&gt;"",Summary!N471,"")</f>
        <v/>
      </c>
      <c r="G470" s="20" t="str">
        <f>IF(Summary!O471&lt;&gt;"",Summary!O471,"")</f>
        <v/>
      </c>
    </row>
    <row r="471" spans="1:7">
      <c r="A471" s="39" t="str">
        <f>IF(Summary!A472&lt;&gt;"",Summary!A472,"")</f>
        <v/>
      </c>
      <c r="B471" s="21" t="str">
        <f>IF(Summary!J472&lt;&gt;"",Summary!J472,"")</f>
        <v/>
      </c>
      <c r="C471" s="44" t="str">
        <f>IF(Summary!E472+Summary!H472&gt;0,Summary!E472+Summary!H472,"")</f>
        <v/>
      </c>
      <c r="D471" s="40" t="str">
        <f>IF(Summary!L472&lt;&gt;"",Summary!L472,"")</f>
        <v/>
      </c>
      <c r="E471" s="40" t="str">
        <f>IF(Summary!M472&lt;&gt;"",Summary!M472,"")</f>
        <v/>
      </c>
      <c r="F471" s="20" t="str">
        <f>IF(Summary!N472&lt;&gt;"",Summary!N472,"")</f>
        <v/>
      </c>
      <c r="G471" s="20" t="str">
        <f>IF(Summary!O472&lt;&gt;"",Summary!O472,"")</f>
        <v/>
      </c>
    </row>
    <row r="472" spans="1:7">
      <c r="A472" s="39" t="str">
        <f>IF(Summary!A473&lt;&gt;"",Summary!A473,"")</f>
        <v/>
      </c>
      <c r="B472" s="21" t="str">
        <f>IF(Summary!J473&lt;&gt;"",Summary!J473,"")</f>
        <v/>
      </c>
      <c r="C472" s="44" t="str">
        <f>IF(Summary!E473+Summary!H473&gt;0,Summary!E473+Summary!H473,"")</f>
        <v/>
      </c>
      <c r="D472" s="40" t="str">
        <f>IF(Summary!L473&lt;&gt;"",Summary!L473,"")</f>
        <v/>
      </c>
      <c r="E472" s="40" t="str">
        <f>IF(Summary!M473&lt;&gt;"",Summary!M473,"")</f>
        <v/>
      </c>
      <c r="F472" s="20" t="str">
        <f>IF(Summary!N473&lt;&gt;"",Summary!N473,"")</f>
        <v/>
      </c>
      <c r="G472" s="20" t="str">
        <f>IF(Summary!O473&lt;&gt;"",Summary!O473,"")</f>
        <v/>
      </c>
    </row>
    <row r="473" spans="1:7">
      <c r="A473" s="39" t="str">
        <f>IF(Summary!A474&lt;&gt;"",Summary!A474,"")</f>
        <v/>
      </c>
      <c r="B473" s="21" t="str">
        <f>IF(Summary!J474&lt;&gt;"",Summary!J474,"")</f>
        <v/>
      </c>
      <c r="C473" s="44" t="str">
        <f>IF(Summary!E474+Summary!H474&gt;0,Summary!E474+Summary!H474,"")</f>
        <v/>
      </c>
      <c r="D473" s="40" t="str">
        <f>IF(Summary!L474&lt;&gt;"",Summary!L474,"")</f>
        <v/>
      </c>
      <c r="E473" s="40" t="str">
        <f>IF(Summary!M474&lt;&gt;"",Summary!M474,"")</f>
        <v/>
      </c>
      <c r="F473" s="20" t="str">
        <f>IF(Summary!N474&lt;&gt;"",Summary!N474,"")</f>
        <v/>
      </c>
      <c r="G473" s="20" t="str">
        <f>IF(Summary!O474&lt;&gt;"",Summary!O474,"")</f>
        <v/>
      </c>
    </row>
    <row r="474" spans="1:7">
      <c r="A474" s="39" t="str">
        <f>IF(Summary!A475&lt;&gt;"",Summary!A475,"")</f>
        <v/>
      </c>
      <c r="B474" s="21" t="str">
        <f>IF(Summary!J475&lt;&gt;"",Summary!J475,"")</f>
        <v/>
      </c>
      <c r="C474" s="44" t="str">
        <f>IF(Summary!E475+Summary!H475&gt;0,Summary!E475+Summary!H475,"")</f>
        <v/>
      </c>
      <c r="D474" s="40" t="str">
        <f>IF(Summary!L475&lt;&gt;"",Summary!L475,"")</f>
        <v/>
      </c>
      <c r="E474" s="40" t="str">
        <f>IF(Summary!M475&lt;&gt;"",Summary!M475,"")</f>
        <v/>
      </c>
      <c r="F474" s="20" t="str">
        <f>IF(Summary!N475&lt;&gt;"",Summary!N475,"")</f>
        <v/>
      </c>
      <c r="G474" s="20" t="str">
        <f>IF(Summary!O475&lt;&gt;"",Summary!O475,"")</f>
        <v/>
      </c>
    </row>
    <row r="475" spans="1:7">
      <c r="A475" s="39" t="str">
        <f>IF(Summary!A476&lt;&gt;"",Summary!A476,"")</f>
        <v/>
      </c>
      <c r="B475" s="21" t="str">
        <f>IF(Summary!J476&lt;&gt;"",Summary!J476,"")</f>
        <v/>
      </c>
      <c r="C475" s="44" t="str">
        <f>IF(Summary!E476+Summary!H476&gt;0,Summary!E476+Summary!H476,"")</f>
        <v/>
      </c>
      <c r="D475" s="40" t="str">
        <f>IF(Summary!L476&lt;&gt;"",Summary!L476,"")</f>
        <v/>
      </c>
      <c r="E475" s="40" t="str">
        <f>IF(Summary!M476&lt;&gt;"",Summary!M476,"")</f>
        <v/>
      </c>
      <c r="F475" s="20" t="str">
        <f>IF(Summary!N476&lt;&gt;"",Summary!N476,"")</f>
        <v/>
      </c>
      <c r="G475" s="20" t="str">
        <f>IF(Summary!O476&lt;&gt;"",Summary!O476,"")</f>
        <v/>
      </c>
    </row>
    <row r="476" spans="1:7">
      <c r="A476" s="39" t="str">
        <f>IF(Summary!A477&lt;&gt;"",Summary!A477,"")</f>
        <v/>
      </c>
      <c r="B476" s="21" t="str">
        <f>IF(Summary!J477&lt;&gt;"",Summary!J477,"")</f>
        <v/>
      </c>
      <c r="C476" s="44" t="str">
        <f>IF(Summary!E477+Summary!H477&gt;0,Summary!E477+Summary!H477,"")</f>
        <v/>
      </c>
      <c r="D476" s="40" t="str">
        <f>IF(Summary!L477&lt;&gt;"",Summary!L477,"")</f>
        <v/>
      </c>
      <c r="E476" s="40" t="str">
        <f>IF(Summary!M477&lt;&gt;"",Summary!M477,"")</f>
        <v/>
      </c>
      <c r="F476" s="20" t="str">
        <f>IF(Summary!N477&lt;&gt;"",Summary!N477,"")</f>
        <v/>
      </c>
      <c r="G476" s="20" t="str">
        <f>IF(Summary!O477&lt;&gt;"",Summary!O477,"")</f>
        <v/>
      </c>
    </row>
    <row r="477" spans="1:7">
      <c r="A477" s="39" t="str">
        <f>IF(Summary!A478&lt;&gt;"",Summary!A478,"")</f>
        <v/>
      </c>
      <c r="B477" s="21" t="str">
        <f>IF(Summary!J478&lt;&gt;"",Summary!J478,"")</f>
        <v/>
      </c>
      <c r="C477" s="44" t="str">
        <f>IF(Summary!E478+Summary!H478&gt;0,Summary!E478+Summary!H478,"")</f>
        <v/>
      </c>
      <c r="D477" s="40" t="str">
        <f>IF(Summary!L478&lt;&gt;"",Summary!L478,"")</f>
        <v/>
      </c>
      <c r="E477" s="40" t="str">
        <f>IF(Summary!M478&lt;&gt;"",Summary!M478,"")</f>
        <v/>
      </c>
      <c r="F477" s="20" t="str">
        <f>IF(Summary!N478&lt;&gt;"",Summary!N478,"")</f>
        <v/>
      </c>
      <c r="G477" s="20" t="str">
        <f>IF(Summary!O478&lt;&gt;"",Summary!O478,"")</f>
        <v/>
      </c>
    </row>
    <row r="478" spans="1:7">
      <c r="A478" s="39" t="str">
        <f>IF(Summary!A479&lt;&gt;"",Summary!A479,"")</f>
        <v/>
      </c>
      <c r="B478" s="21" t="str">
        <f>IF(Summary!J479&lt;&gt;"",Summary!J479,"")</f>
        <v/>
      </c>
      <c r="C478" s="44" t="str">
        <f>IF(Summary!E479+Summary!H479&gt;0,Summary!E479+Summary!H479,"")</f>
        <v/>
      </c>
      <c r="D478" s="40" t="str">
        <f>IF(Summary!L479&lt;&gt;"",Summary!L479,"")</f>
        <v/>
      </c>
      <c r="E478" s="40" t="str">
        <f>IF(Summary!M479&lt;&gt;"",Summary!M479,"")</f>
        <v/>
      </c>
      <c r="F478" s="20" t="str">
        <f>IF(Summary!N479&lt;&gt;"",Summary!N479,"")</f>
        <v/>
      </c>
      <c r="G478" s="20" t="str">
        <f>IF(Summary!O479&lt;&gt;"",Summary!O479,"")</f>
        <v/>
      </c>
    </row>
    <row r="479" spans="1:7">
      <c r="A479" s="39" t="str">
        <f>IF(Summary!A480&lt;&gt;"",Summary!A480,"")</f>
        <v/>
      </c>
      <c r="B479" s="21" t="str">
        <f>IF(Summary!J480&lt;&gt;"",Summary!J480,"")</f>
        <v/>
      </c>
      <c r="C479" s="44" t="str">
        <f>IF(Summary!E480+Summary!H480&gt;0,Summary!E480+Summary!H480,"")</f>
        <v/>
      </c>
      <c r="D479" s="40" t="str">
        <f>IF(Summary!L480&lt;&gt;"",Summary!L480,"")</f>
        <v/>
      </c>
      <c r="E479" s="40" t="str">
        <f>IF(Summary!M480&lt;&gt;"",Summary!M480,"")</f>
        <v/>
      </c>
      <c r="F479" s="20" t="str">
        <f>IF(Summary!N480&lt;&gt;"",Summary!N480,"")</f>
        <v/>
      </c>
      <c r="G479" s="20" t="str">
        <f>IF(Summary!O480&lt;&gt;"",Summary!O480,"")</f>
        <v/>
      </c>
    </row>
    <row r="480" spans="1:7">
      <c r="A480" s="39" t="str">
        <f>IF(Summary!A481&lt;&gt;"",Summary!A481,"")</f>
        <v/>
      </c>
      <c r="B480" s="21" t="str">
        <f>IF(Summary!J481&lt;&gt;"",Summary!J481,"")</f>
        <v/>
      </c>
      <c r="C480" s="44" t="str">
        <f>IF(Summary!E481+Summary!H481&gt;0,Summary!E481+Summary!H481,"")</f>
        <v/>
      </c>
      <c r="D480" s="40" t="str">
        <f>IF(Summary!L481&lt;&gt;"",Summary!L481,"")</f>
        <v/>
      </c>
      <c r="E480" s="40" t="str">
        <f>IF(Summary!M481&lt;&gt;"",Summary!M481,"")</f>
        <v/>
      </c>
      <c r="F480" s="20" t="str">
        <f>IF(Summary!N481&lt;&gt;"",Summary!N481,"")</f>
        <v/>
      </c>
      <c r="G480" s="20" t="str">
        <f>IF(Summary!O481&lt;&gt;"",Summary!O481,"")</f>
        <v/>
      </c>
    </row>
    <row r="481" spans="1:7">
      <c r="A481" s="39" t="str">
        <f>IF(Summary!A482&lt;&gt;"",Summary!A482,"")</f>
        <v/>
      </c>
      <c r="B481" s="21" t="str">
        <f>IF(Summary!J482&lt;&gt;"",Summary!J482,"")</f>
        <v/>
      </c>
      <c r="C481" s="44" t="str">
        <f>IF(Summary!E482+Summary!H482&gt;0,Summary!E482+Summary!H482,"")</f>
        <v/>
      </c>
      <c r="D481" s="40" t="str">
        <f>IF(Summary!L482&lt;&gt;"",Summary!L482,"")</f>
        <v/>
      </c>
      <c r="E481" s="40" t="str">
        <f>IF(Summary!M482&lt;&gt;"",Summary!M482,"")</f>
        <v/>
      </c>
      <c r="F481" s="20" t="str">
        <f>IF(Summary!N482&lt;&gt;"",Summary!N482,"")</f>
        <v/>
      </c>
      <c r="G481" s="20" t="str">
        <f>IF(Summary!O482&lt;&gt;"",Summary!O482,"")</f>
        <v/>
      </c>
    </row>
    <row r="482" spans="1:7">
      <c r="A482" s="39" t="str">
        <f>IF(Summary!A483&lt;&gt;"",Summary!A483,"")</f>
        <v/>
      </c>
      <c r="B482" s="21" t="str">
        <f>IF(Summary!J483&lt;&gt;"",Summary!J483,"")</f>
        <v/>
      </c>
      <c r="C482" s="44" t="str">
        <f>IF(Summary!E483+Summary!H483&gt;0,Summary!E483+Summary!H483,"")</f>
        <v/>
      </c>
      <c r="D482" s="40" t="str">
        <f>IF(Summary!L483&lt;&gt;"",Summary!L483,"")</f>
        <v/>
      </c>
      <c r="E482" s="40" t="str">
        <f>IF(Summary!M483&lt;&gt;"",Summary!M483,"")</f>
        <v/>
      </c>
      <c r="F482" s="20" t="str">
        <f>IF(Summary!N483&lt;&gt;"",Summary!N483,"")</f>
        <v/>
      </c>
      <c r="G482" s="20" t="str">
        <f>IF(Summary!O483&lt;&gt;"",Summary!O483,"")</f>
        <v/>
      </c>
    </row>
    <row r="483" spans="1:7">
      <c r="A483" s="39" t="str">
        <f>IF(Summary!A484&lt;&gt;"",Summary!A484,"")</f>
        <v/>
      </c>
      <c r="B483" s="21" t="str">
        <f>IF(Summary!J484&lt;&gt;"",Summary!J484,"")</f>
        <v/>
      </c>
      <c r="C483" s="44" t="str">
        <f>IF(Summary!E484+Summary!H484&gt;0,Summary!E484+Summary!H484,"")</f>
        <v/>
      </c>
      <c r="D483" s="40" t="str">
        <f>IF(Summary!L484&lt;&gt;"",Summary!L484,"")</f>
        <v/>
      </c>
      <c r="E483" s="40" t="str">
        <f>IF(Summary!M484&lt;&gt;"",Summary!M484,"")</f>
        <v/>
      </c>
      <c r="F483" s="20" t="str">
        <f>IF(Summary!N484&lt;&gt;"",Summary!N484,"")</f>
        <v/>
      </c>
      <c r="G483" s="20" t="str">
        <f>IF(Summary!O484&lt;&gt;"",Summary!O484,"")</f>
        <v/>
      </c>
    </row>
    <row r="484" spans="1:7">
      <c r="A484" s="39" t="str">
        <f>IF(Summary!A485&lt;&gt;"",Summary!A485,"")</f>
        <v/>
      </c>
      <c r="B484" s="21" t="str">
        <f>IF(Summary!J485&lt;&gt;"",Summary!J485,"")</f>
        <v/>
      </c>
      <c r="C484" s="44" t="str">
        <f>IF(Summary!E485+Summary!H485&gt;0,Summary!E485+Summary!H485,"")</f>
        <v/>
      </c>
      <c r="D484" s="40" t="str">
        <f>IF(Summary!L485&lt;&gt;"",Summary!L485,"")</f>
        <v/>
      </c>
      <c r="E484" s="40" t="str">
        <f>IF(Summary!M485&lt;&gt;"",Summary!M485,"")</f>
        <v/>
      </c>
      <c r="F484" s="20" t="str">
        <f>IF(Summary!N485&lt;&gt;"",Summary!N485,"")</f>
        <v/>
      </c>
      <c r="G484" s="20" t="str">
        <f>IF(Summary!O485&lt;&gt;"",Summary!O485,"")</f>
        <v/>
      </c>
    </row>
    <row r="485" spans="1:7">
      <c r="A485" s="39" t="str">
        <f>IF(Summary!A486&lt;&gt;"",Summary!A486,"")</f>
        <v/>
      </c>
      <c r="B485" s="21" t="str">
        <f>IF(Summary!J486&lt;&gt;"",Summary!J486,"")</f>
        <v/>
      </c>
      <c r="C485" s="44" t="str">
        <f>IF(Summary!E486+Summary!H486&gt;0,Summary!E486+Summary!H486,"")</f>
        <v/>
      </c>
      <c r="D485" s="40" t="str">
        <f>IF(Summary!L486&lt;&gt;"",Summary!L486,"")</f>
        <v/>
      </c>
      <c r="E485" s="40" t="str">
        <f>IF(Summary!M486&lt;&gt;"",Summary!M486,"")</f>
        <v/>
      </c>
      <c r="F485" s="20" t="str">
        <f>IF(Summary!N486&lt;&gt;"",Summary!N486,"")</f>
        <v/>
      </c>
      <c r="G485" s="20" t="str">
        <f>IF(Summary!O486&lt;&gt;"",Summary!O486,"")</f>
        <v/>
      </c>
    </row>
    <row r="486" spans="1:7">
      <c r="A486" s="39" t="str">
        <f>IF(Summary!A487&lt;&gt;"",Summary!A487,"")</f>
        <v/>
      </c>
      <c r="B486" s="21" t="str">
        <f>IF(Summary!J487&lt;&gt;"",Summary!J487,"")</f>
        <v/>
      </c>
      <c r="C486" s="44" t="str">
        <f>IF(Summary!E487+Summary!H487&gt;0,Summary!E487+Summary!H487,"")</f>
        <v/>
      </c>
      <c r="D486" s="40" t="str">
        <f>IF(Summary!L487&lt;&gt;"",Summary!L487,"")</f>
        <v/>
      </c>
      <c r="E486" s="40" t="str">
        <f>IF(Summary!M487&lt;&gt;"",Summary!M487,"")</f>
        <v/>
      </c>
      <c r="F486" s="20" t="str">
        <f>IF(Summary!N487&lt;&gt;"",Summary!N487,"")</f>
        <v/>
      </c>
      <c r="G486" s="20" t="str">
        <f>IF(Summary!O487&lt;&gt;"",Summary!O487,"")</f>
        <v/>
      </c>
    </row>
    <row r="487" spans="1:7">
      <c r="A487" s="39" t="str">
        <f>IF(Summary!A488&lt;&gt;"",Summary!A488,"")</f>
        <v/>
      </c>
      <c r="B487" s="21" t="str">
        <f>IF(Summary!J488&lt;&gt;"",Summary!J488,"")</f>
        <v/>
      </c>
      <c r="C487" s="44" t="str">
        <f>IF(Summary!E488+Summary!H488&gt;0,Summary!E488+Summary!H488,"")</f>
        <v/>
      </c>
      <c r="D487" s="40" t="str">
        <f>IF(Summary!L488&lt;&gt;"",Summary!L488,"")</f>
        <v/>
      </c>
      <c r="E487" s="40" t="str">
        <f>IF(Summary!M488&lt;&gt;"",Summary!M488,"")</f>
        <v/>
      </c>
      <c r="F487" s="20" t="str">
        <f>IF(Summary!N488&lt;&gt;"",Summary!N488,"")</f>
        <v/>
      </c>
      <c r="G487" s="20" t="str">
        <f>IF(Summary!O488&lt;&gt;"",Summary!O488,"")</f>
        <v/>
      </c>
    </row>
    <row r="488" spans="1:7">
      <c r="A488" s="39" t="str">
        <f>IF(Summary!A489&lt;&gt;"",Summary!A489,"")</f>
        <v/>
      </c>
      <c r="B488" s="21" t="str">
        <f>IF(Summary!J489&lt;&gt;"",Summary!J489,"")</f>
        <v/>
      </c>
      <c r="C488" s="44" t="str">
        <f>IF(Summary!E489+Summary!H489&gt;0,Summary!E489+Summary!H489,"")</f>
        <v/>
      </c>
      <c r="D488" s="40" t="str">
        <f>IF(Summary!L489&lt;&gt;"",Summary!L489,"")</f>
        <v/>
      </c>
      <c r="E488" s="40" t="str">
        <f>IF(Summary!M489&lt;&gt;"",Summary!M489,"")</f>
        <v/>
      </c>
      <c r="F488" s="20" t="str">
        <f>IF(Summary!N489&lt;&gt;"",Summary!N489,"")</f>
        <v/>
      </c>
      <c r="G488" s="20" t="str">
        <f>IF(Summary!O489&lt;&gt;"",Summary!O489,"")</f>
        <v/>
      </c>
    </row>
    <row r="489" spans="1:7">
      <c r="A489" s="39" t="str">
        <f>IF(Summary!A490&lt;&gt;"",Summary!A490,"")</f>
        <v/>
      </c>
      <c r="B489" s="21" t="str">
        <f>IF(Summary!J490&lt;&gt;"",Summary!J490,"")</f>
        <v/>
      </c>
      <c r="C489" s="44" t="str">
        <f>IF(Summary!E490+Summary!H490&gt;0,Summary!E490+Summary!H490,"")</f>
        <v/>
      </c>
      <c r="D489" s="40" t="str">
        <f>IF(Summary!L490&lt;&gt;"",Summary!L490,"")</f>
        <v/>
      </c>
      <c r="E489" s="40" t="str">
        <f>IF(Summary!M490&lt;&gt;"",Summary!M490,"")</f>
        <v/>
      </c>
      <c r="F489" s="20" t="str">
        <f>IF(Summary!N490&lt;&gt;"",Summary!N490,"")</f>
        <v/>
      </c>
      <c r="G489" s="20" t="str">
        <f>IF(Summary!O490&lt;&gt;"",Summary!O490,"")</f>
        <v/>
      </c>
    </row>
    <row r="490" spans="1:7">
      <c r="A490" s="39" t="str">
        <f>IF(Summary!A491&lt;&gt;"",Summary!A491,"")</f>
        <v/>
      </c>
      <c r="B490" s="21" t="str">
        <f>IF(Summary!J491&lt;&gt;"",Summary!J491,"")</f>
        <v/>
      </c>
      <c r="C490" s="44" t="str">
        <f>IF(Summary!E491+Summary!H491&gt;0,Summary!E491+Summary!H491,"")</f>
        <v/>
      </c>
      <c r="D490" s="40" t="str">
        <f>IF(Summary!L491&lt;&gt;"",Summary!L491,"")</f>
        <v/>
      </c>
      <c r="E490" s="40" t="str">
        <f>IF(Summary!M491&lt;&gt;"",Summary!M491,"")</f>
        <v/>
      </c>
      <c r="F490" s="20" t="str">
        <f>IF(Summary!N491&lt;&gt;"",Summary!N491,"")</f>
        <v/>
      </c>
      <c r="G490" s="20" t="str">
        <f>IF(Summary!O491&lt;&gt;"",Summary!O491,"")</f>
        <v/>
      </c>
    </row>
    <row r="491" spans="1:7">
      <c r="A491" s="39" t="str">
        <f>IF(Summary!A492&lt;&gt;"",Summary!A492,"")</f>
        <v/>
      </c>
      <c r="B491" s="21" t="str">
        <f>IF(Summary!J492&lt;&gt;"",Summary!J492,"")</f>
        <v/>
      </c>
      <c r="C491" s="44" t="str">
        <f>IF(Summary!E492+Summary!H492&gt;0,Summary!E492+Summary!H492,"")</f>
        <v/>
      </c>
      <c r="D491" s="40" t="str">
        <f>IF(Summary!L492&lt;&gt;"",Summary!L492,"")</f>
        <v/>
      </c>
      <c r="E491" s="40" t="str">
        <f>IF(Summary!M492&lt;&gt;"",Summary!M492,"")</f>
        <v/>
      </c>
      <c r="F491" s="20" t="str">
        <f>IF(Summary!N492&lt;&gt;"",Summary!N492,"")</f>
        <v/>
      </c>
      <c r="G491" s="20" t="str">
        <f>IF(Summary!O492&lt;&gt;"",Summary!O492,"")</f>
        <v/>
      </c>
    </row>
    <row r="492" spans="1:7">
      <c r="A492" s="39" t="str">
        <f>IF(Summary!A493&lt;&gt;"",Summary!A493,"")</f>
        <v/>
      </c>
      <c r="B492" s="21" t="str">
        <f>IF(Summary!J493&lt;&gt;"",Summary!J493,"")</f>
        <v/>
      </c>
      <c r="C492" s="44" t="str">
        <f>IF(Summary!E493+Summary!H493&gt;0,Summary!E493+Summary!H493,"")</f>
        <v/>
      </c>
      <c r="D492" s="40" t="str">
        <f>IF(Summary!L493&lt;&gt;"",Summary!L493,"")</f>
        <v/>
      </c>
      <c r="E492" s="40" t="str">
        <f>IF(Summary!M493&lt;&gt;"",Summary!M493,"")</f>
        <v/>
      </c>
      <c r="F492" s="20" t="str">
        <f>IF(Summary!N493&lt;&gt;"",Summary!N493,"")</f>
        <v/>
      </c>
      <c r="G492" s="20" t="str">
        <f>IF(Summary!O493&lt;&gt;"",Summary!O493,"")</f>
        <v/>
      </c>
    </row>
    <row r="493" spans="1:7">
      <c r="A493" s="39" t="str">
        <f>IF(Summary!A494&lt;&gt;"",Summary!A494,"")</f>
        <v/>
      </c>
      <c r="B493" s="21" t="str">
        <f>IF(Summary!J494&lt;&gt;"",Summary!J494,"")</f>
        <v/>
      </c>
      <c r="C493" s="44" t="str">
        <f>IF(Summary!E494+Summary!H494&gt;0,Summary!E494+Summary!H494,"")</f>
        <v/>
      </c>
      <c r="D493" s="40" t="str">
        <f>IF(Summary!L494&lt;&gt;"",Summary!L494,"")</f>
        <v/>
      </c>
      <c r="E493" s="40" t="str">
        <f>IF(Summary!M494&lt;&gt;"",Summary!M494,"")</f>
        <v/>
      </c>
      <c r="F493" s="20" t="str">
        <f>IF(Summary!N494&lt;&gt;"",Summary!N494,"")</f>
        <v/>
      </c>
      <c r="G493" s="20" t="str">
        <f>IF(Summary!O494&lt;&gt;"",Summary!O494,"")</f>
        <v/>
      </c>
    </row>
    <row r="494" spans="1:7">
      <c r="A494" s="39" t="str">
        <f>IF(Summary!A495&lt;&gt;"",Summary!A495,"")</f>
        <v/>
      </c>
      <c r="B494" s="21" t="str">
        <f>IF(Summary!J495&lt;&gt;"",Summary!J495,"")</f>
        <v/>
      </c>
      <c r="C494" s="44" t="str">
        <f>IF(Summary!E495+Summary!H495&gt;0,Summary!E495+Summary!H495,"")</f>
        <v/>
      </c>
      <c r="D494" s="40" t="str">
        <f>IF(Summary!L495&lt;&gt;"",Summary!L495,"")</f>
        <v/>
      </c>
      <c r="E494" s="40" t="str">
        <f>IF(Summary!M495&lt;&gt;"",Summary!M495,"")</f>
        <v/>
      </c>
      <c r="F494" s="20" t="str">
        <f>IF(Summary!N495&lt;&gt;"",Summary!N495,"")</f>
        <v/>
      </c>
      <c r="G494" s="20" t="str">
        <f>IF(Summary!O495&lt;&gt;"",Summary!O495,"")</f>
        <v/>
      </c>
    </row>
    <row r="495" spans="1:7">
      <c r="A495" s="39" t="str">
        <f>IF(Summary!A496&lt;&gt;"",Summary!A496,"")</f>
        <v/>
      </c>
      <c r="B495" s="21" t="str">
        <f>IF(Summary!J496&lt;&gt;"",Summary!J496,"")</f>
        <v/>
      </c>
      <c r="C495" s="44" t="str">
        <f>IF(Summary!E496+Summary!H496&gt;0,Summary!E496+Summary!H496,"")</f>
        <v/>
      </c>
      <c r="D495" s="40" t="str">
        <f>IF(Summary!L496&lt;&gt;"",Summary!L496,"")</f>
        <v/>
      </c>
      <c r="E495" s="40" t="str">
        <f>IF(Summary!M496&lt;&gt;"",Summary!M496,"")</f>
        <v/>
      </c>
      <c r="F495" s="20" t="str">
        <f>IF(Summary!N496&lt;&gt;"",Summary!N496,"")</f>
        <v/>
      </c>
      <c r="G495" s="20" t="str">
        <f>IF(Summary!O496&lt;&gt;"",Summary!O496,"")</f>
        <v/>
      </c>
    </row>
    <row r="496" spans="1:7">
      <c r="A496" s="39" t="str">
        <f>IF(Summary!A497&lt;&gt;"",Summary!A497,"")</f>
        <v/>
      </c>
      <c r="B496" s="21" t="str">
        <f>IF(Summary!J497&lt;&gt;"",Summary!J497,"")</f>
        <v/>
      </c>
      <c r="C496" s="44" t="str">
        <f>IF(Summary!E497+Summary!H497&gt;0,Summary!E497+Summary!H497,"")</f>
        <v/>
      </c>
      <c r="D496" s="40" t="str">
        <f>IF(Summary!L497&lt;&gt;"",Summary!L497,"")</f>
        <v/>
      </c>
      <c r="E496" s="40" t="str">
        <f>IF(Summary!M497&lt;&gt;"",Summary!M497,"")</f>
        <v/>
      </c>
      <c r="F496" s="20" t="str">
        <f>IF(Summary!N497&lt;&gt;"",Summary!N497,"")</f>
        <v/>
      </c>
      <c r="G496" s="20" t="str">
        <f>IF(Summary!O497&lt;&gt;"",Summary!O497,"")</f>
        <v/>
      </c>
    </row>
    <row r="497" spans="1:7">
      <c r="A497" s="39" t="str">
        <f>IF(Summary!A498&lt;&gt;"",Summary!A498,"")</f>
        <v/>
      </c>
      <c r="B497" s="21" t="str">
        <f>IF(Summary!J498&lt;&gt;"",Summary!J498,"")</f>
        <v/>
      </c>
      <c r="C497" s="44" t="str">
        <f>IF(Summary!E498+Summary!H498&gt;0,Summary!E498+Summary!H498,"")</f>
        <v/>
      </c>
      <c r="D497" s="40" t="str">
        <f>IF(Summary!L498&lt;&gt;"",Summary!L498,"")</f>
        <v/>
      </c>
      <c r="E497" s="40" t="str">
        <f>IF(Summary!M498&lt;&gt;"",Summary!M498,"")</f>
        <v/>
      </c>
      <c r="F497" s="20" t="str">
        <f>IF(Summary!N498&lt;&gt;"",Summary!N498,"")</f>
        <v/>
      </c>
      <c r="G497" s="20" t="str">
        <f>IF(Summary!O498&lt;&gt;"",Summary!O498,"")</f>
        <v/>
      </c>
    </row>
    <row r="498" spans="1:7">
      <c r="A498" s="39" t="str">
        <f>IF(Summary!A499&lt;&gt;"",Summary!A499,"")</f>
        <v/>
      </c>
      <c r="B498" s="21" t="str">
        <f>IF(Summary!J499&lt;&gt;"",Summary!J499,"")</f>
        <v/>
      </c>
      <c r="C498" s="44" t="str">
        <f>IF(Summary!E499+Summary!H499&gt;0,Summary!E499+Summary!H499,"")</f>
        <v/>
      </c>
      <c r="D498" s="40" t="str">
        <f>IF(Summary!L499&lt;&gt;"",Summary!L499,"")</f>
        <v/>
      </c>
      <c r="E498" s="40" t="str">
        <f>IF(Summary!M499&lt;&gt;"",Summary!M499,"")</f>
        <v/>
      </c>
      <c r="F498" s="20" t="str">
        <f>IF(Summary!N499&lt;&gt;"",Summary!N499,"")</f>
        <v/>
      </c>
      <c r="G498" s="20" t="str">
        <f>IF(Summary!O499&lt;&gt;"",Summary!O499,"")</f>
        <v/>
      </c>
    </row>
    <row r="499" spans="1:7">
      <c r="A499" s="39" t="str">
        <f>IF(Summary!A500&lt;&gt;"",Summary!A500,"")</f>
        <v/>
      </c>
      <c r="B499" s="21" t="str">
        <f>IF(Summary!J500&lt;&gt;"",Summary!J500,"")</f>
        <v/>
      </c>
      <c r="C499" s="44" t="str">
        <f>IF(Summary!E500+Summary!H500&gt;0,Summary!E500+Summary!H500,"")</f>
        <v/>
      </c>
      <c r="D499" s="40" t="str">
        <f>IF(Summary!L500&lt;&gt;"",Summary!L500,"")</f>
        <v/>
      </c>
      <c r="E499" s="40" t="str">
        <f>IF(Summary!M500&lt;&gt;"",Summary!M500,"")</f>
        <v/>
      </c>
      <c r="F499" s="20" t="str">
        <f>IF(Summary!N500&lt;&gt;"",Summary!N500,"")</f>
        <v/>
      </c>
      <c r="G499" s="20" t="str">
        <f>IF(Summary!O500&lt;&gt;"",Summary!O500,"")</f>
        <v/>
      </c>
    </row>
    <row r="500" spans="1:7">
      <c r="A500" s="39" t="str">
        <f>IF(Summary!A501&lt;&gt;"",Summary!A501,"")</f>
        <v/>
      </c>
      <c r="B500" s="21" t="str">
        <f>IF(Summary!J501&lt;&gt;"",Summary!J501,"")</f>
        <v/>
      </c>
      <c r="C500" s="44" t="str">
        <f>IF(Summary!E501+Summary!H501&gt;0,Summary!E501+Summary!H501,"")</f>
        <v/>
      </c>
      <c r="D500" s="40" t="str">
        <f>IF(Summary!L501&lt;&gt;"",Summary!L501,"")</f>
        <v/>
      </c>
      <c r="E500" s="40" t="str">
        <f>IF(Summary!M501&lt;&gt;"",Summary!M501,"")</f>
        <v/>
      </c>
      <c r="F500" s="20" t="str">
        <f>IF(Summary!N501&lt;&gt;"",Summary!N501,"")</f>
        <v/>
      </c>
      <c r="G500" s="20" t="str">
        <f>IF(Summary!O501&lt;&gt;"",Summary!O501,"")</f>
        <v/>
      </c>
    </row>
    <row r="501" spans="1:7">
      <c r="A501" s="39" t="str">
        <f>IF(Summary!A502&lt;&gt;"",Summary!A502,"")</f>
        <v/>
      </c>
      <c r="B501" s="21" t="str">
        <f>IF(Summary!J502&lt;&gt;"",Summary!J502,"")</f>
        <v/>
      </c>
      <c r="C501" s="44" t="str">
        <f>IF(Summary!E502+Summary!H502&gt;0,Summary!E502+Summary!H502,"")</f>
        <v/>
      </c>
      <c r="D501" s="40" t="str">
        <f>IF(Summary!L502&lt;&gt;"",Summary!L502,"")</f>
        <v/>
      </c>
      <c r="E501" s="40" t="str">
        <f>IF(Summary!M502&lt;&gt;"",Summary!M502,"")</f>
        <v/>
      </c>
      <c r="F501" s="20" t="str">
        <f>IF(Summary!N502&lt;&gt;"",Summary!N502,"")</f>
        <v/>
      </c>
      <c r="G501" s="20" t="str">
        <f>IF(Summary!O502&lt;&gt;"",Summary!O502,"")</f>
        <v/>
      </c>
    </row>
    <row r="502" spans="1:7">
      <c r="A502" s="39" t="str">
        <f>IF(Summary!A503&lt;&gt;"",Summary!A503,"")</f>
        <v/>
      </c>
      <c r="B502" s="21" t="str">
        <f>IF(Summary!J503&lt;&gt;"",Summary!J503,"")</f>
        <v/>
      </c>
      <c r="C502" s="44" t="str">
        <f>IF(Summary!E503+Summary!H503&gt;0,Summary!E503+Summary!H503,"")</f>
        <v/>
      </c>
      <c r="D502" s="40" t="str">
        <f>IF(Summary!L503&lt;&gt;"",Summary!L503,"")</f>
        <v/>
      </c>
      <c r="E502" s="40" t="str">
        <f>IF(Summary!M503&lt;&gt;"",Summary!M503,"")</f>
        <v/>
      </c>
      <c r="F502" s="20" t="str">
        <f>IF(Summary!N503&lt;&gt;"",Summary!N503,"")</f>
        <v/>
      </c>
      <c r="G502" s="20" t="str">
        <f>IF(Summary!O503&lt;&gt;"",Summary!O503,"")</f>
        <v/>
      </c>
    </row>
    <row r="503" spans="1:7">
      <c r="A503" s="39" t="str">
        <f>IF(Summary!A504&lt;&gt;"",Summary!A504,"")</f>
        <v/>
      </c>
      <c r="B503" s="21" t="str">
        <f>IF(Summary!J504&lt;&gt;"",Summary!J504,"")</f>
        <v/>
      </c>
      <c r="C503" s="44" t="str">
        <f>IF(Summary!E504+Summary!H504&gt;0,Summary!E504+Summary!H504,"")</f>
        <v/>
      </c>
      <c r="D503" s="40" t="str">
        <f>IF(Summary!L504&lt;&gt;"",Summary!L504,"")</f>
        <v/>
      </c>
      <c r="E503" s="40" t="str">
        <f>IF(Summary!M504&lt;&gt;"",Summary!M504,"")</f>
        <v/>
      </c>
      <c r="F503" s="20" t="str">
        <f>IF(Summary!N504&lt;&gt;"",Summary!N504,"")</f>
        <v/>
      </c>
      <c r="G503" s="20" t="str">
        <f>IF(Summary!O504&lt;&gt;"",Summary!O504,"")</f>
        <v/>
      </c>
    </row>
    <row r="504" spans="1:7">
      <c r="A504" s="39" t="str">
        <f>IF(Summary!A505&lt;&gt;"",Summary!A505,"")</f>
        <v/>
      </c>
      <c r="B504" s="21" t="str">
        <f>IF(Summary!J505&lt;&gt;"",Summary!J505,"")</f>
        <v/>
      </c>
      <c r="C504" s="44" t="str">
        <f>IF(Summary!E505+Summary!H505&gt;0,Summary!E505+Summary!H505,"")</f>
        <v/>
      </c>
      <c r="D504" s="40" t="str">
        <f>IF(Summary!L505&lt;&gt;"",Summary!L505,"")</f>
        <v/>
      </c>
      <c r="E504" s="40" t="str">
        <f>IF(Summary!M505&lt;&gt;"",Summary!M505,"")</f>
        <v/>
      </c>
      <c r="F504" s="20" t="str">
        <f>IF(Summary!N505&lt;&gt;"",Summary!N505,"")</f>
        <v/>
      </c>
      <c r="G504" s="20" t="str">
        <f>IF(Summary!O505&lt;&gt;"",Summary!O505,"")</f>
        <v/>
      </c>
    </row>
    <row r="505" spans="1:7">
      <c r="A505" s="39" t="str">
        <f>IF(Summary!A506&lt;&gt;"",Summary!A506,"")</f>
        <v/>
      </c>
      <c r="B505" s="21" t="str">
        <f>IF(Summary!J506&lt;&gt;"",Summary!J506,"")</f>
        <v/>
      </c>
      <c r="C505" s="44" t="str">
        <f>IF(Summary!E506+Summary!H506&gt;0,Summary!E506+Summary!H506,"")</f>
        <v/>
      </c>
      <c r="D505" s="40" t="str">
        <f>IF(Summary!L506&lt;&gt;"",Summary!L506,"")</f>
        <v/>
      </c>
      <c r="E505" s="40" t="str">
        <f>IF(Summary!M506&lt;&gt;"",Summary!M506,"")</f>
        <v/>
      </c>
      <c r="F505" s="20" t="str">
        <f>IF(Summary!N506&lt;&gt;"",Summary!N506,"")</f>
        <v/>
      </c>
      <c r="G505" s="20" t="str">
        <f>IF(Summary!O506&lt;&gt;"",Summary!O506,"")</f>
        <v/>
      </c>
    </row>
    <row r="506" spans="1:7">
      <c r="A506" s="39" t="str">
        <f>IF(Summary!A507&lt;&gt;"",Summary!A507,"")</f>
        <v/>
      </c>
      <c r="B506" s="21" t="str">
        <f>IF(Summary!J507&lt;&gt;"",Summary!J507,"")</f>
        <v/>
      </c>
      <c r="C506" s="44" t="str">
        <f>IF(Summary!E507+Summary!H507&gt;0,Summary!E507+Summary!H507,"")</f>
        <v/>
      </c>
      <c r="D506" s="40" t="str">
        <f>IF(Summary!L507&lt;&gt;"",Summary!L507,"")</f>
        <v/>
      </c>
      <c r="E506" s="40" t="str">
        <f>IF(Summary!M507&lt;&gt;"",Summary!M507,"")</f>
        <v/>
      </c>
      <c r="F506" s="20" t="str">
        <f>IF(Summary!N507&lt;&gt;"",Summary!N507,"")</f>
        <v/>
      </c>
      <c r="G506" s="20" t="str">
        <f>IF(Summary!O507&lt;&gt;"",Summary!O507,"")</f>
        <v/>
      </c>
    </row>
    <row r="507" spans="1:7">
      <c r="A507" s="39" t="str">
        <f>IF(Summary!A508&lt;&gt;"",Summary!A508,"")</f>
        <v/>
      </c>
      <c r="B507" s="21" t="str">
        <f>IF(Summary!J508&lt;&gt;"",Summary!J508,"")</f>
        <v/>
      </c>
      <c r="C507" s="44" t="str">
        <f>IF(Summary!E508+Summary!H508&gt;0,Summary!E508+Summary!H508,"")</f>
        <v/>
      </c>
      <c r="D507" s="40" t="str">
        <f>IF(Summary!L508&lt;&gt;"",Summary!L508,"")</f>
        <v/>
      </c>
      <c r="E507" s="40" t="str">
        <f>IF(Summary!M508&lt;&gt;"",Summary!M508,"")</f>
        <v/>
      </c>
      <c r="F507" s="20" t="str">
        <f>IF(Summary!N508&lt;&gt;"",Summary!N508,"")</f>
        <v/>
      </c>
      <c r="G507" s="20" t="str">
        <f>IF(Summary!O508&lt;&gt;"",Summary!O508,"")</f>
        <v/>
      </c>
    </row>
    <row r="508" spans="1:7">
      <c r="A508" s="39" t="str">
        <f>IF(Summary!A509&lt;&gt;"",Summary!A509,"")</f>
        <v/>
      </c>
      <c r="B508" s="21" t="str">
        <f>IF(Summary!J509&lt;&gt;"",Summary!J509,"")</f>
        <v/>
      </c>
      <c r="C508" s="44" t="str">
        <f>IF(Summary!E509+Summary!H509&gt;0,Summary!E509+Summary!H509,"")</f>
        <v/>
      </c>
      <c r="D508" s="40" t="str">
        <f>IF(Summary!L509&lt;&gt;"",Summary!L509,"")</f>
        <v/>
      </c>
      <c r="E508" s="40" t="str">
        <f>IF(Summary!M509&lt;&gt;"",Summary!M509,"")</f>
        <v/>
      </c>
      <c r="F508" s="20" t="str">
        <f>IF(Summary!N509&lt;&gt;"",Summary!N509,"")</f>
        <v/>
      </c>
      <c r="G508" s="20" t="str">
        <f>IF(Summary!O509&lt;&gt;"",Summary!O509,"")</f>
        <v/>
      </c>
    </row>
    <row r="509" spans="1:7">
      <c r="A509" s="39" t="str">
        <f>IF(Summary!A510&lt;&gt;"",Summary!A510,"")</f>
        <v/>
      </c>
      <c r="B509" s="21" t="str">
        <f>IF(Summary!J510&lt;&gt;"",Summary!J510,"")</f>
        <v/>
      </c>
      <c r="C509" s="44" t="str">
        <f>IF(Summary!E510+Summary!H510&gt;0,Summary!E510+Summary!H510,"")</f>
        <v/>
      </c>
      <c r="D509" s="40" t="str">
        <f>IF(Summary!L510&lt;&gt;"",Summary!L510,"")</f>
        <v/>
      </c>
      <c r="E509" s="40" t="str">
        <f>IF(Summary!M510&lt;&gt;"",Summary!M510,"")</f>
        <v/>
      </c>
      <c r="F509" s="20" t="str">
        <f>IF(Summary!N510&lt;&gt;"",Summary!N510,"")</f>
        <v/>
      </c>
      <c r="G509" s="20" t="str">
        <f>IF(Summary!O510&lt;&gt;"",Summary!O510,"")</f>
        <v/>
      </c>
    </row>
    <row r="510" spans="1:7">
      <c r="A510" s="39" t="str">
        <f>IF(Summary!A511&lt;&gt;"",Summary!A511,"")</f>
        <v/>
      </c>
      <c r="B510" s="21" t="str">
        <f>IF(Summary!J511&lt;&gt;"",Summary!J511,"")</f>
        <v/>
      </c>
      <c r="C510" s="44" t="str">
        <f>IF(Summary!E511+Summary!H511&gt;0,Summary!E511+Summary!H511,"")</f>
        <v/>
      </c>
      <c r="D510" s="40" t="str">
        <f>IF(Summary!L511&lt;&gt;"",Summary!L511,"")</f>
        <v/>
      </c>
      <c r="E510" s="40" t="str">
        <f>IF(Summary!M511&lt;&gt;"",Summary!M511,"")</f>
        <v/>
      </c>
      <c r="F510" s="20" t="str">
        <f>IF(Summary!N511&lt;&gt;"",Summary!N511,"")</f>
        <v/>
      </c>
      <c r="G510" s="20" t="str">
        <f>IF(Summary!O511&lt;&gt;"",Summary!O511,"")</f>
        <v/>
      </c>
    </row>
    <row r="511" spans="1:7">
      <c r="A511" s="39" t="str">
        <f>IF(Summary!A512&lt;&gt;"",Summary!A512,"")</f>
        <v/>
      </c>
      <c r="B511" s="21" t="str">
        <f>IF(Summary!J512&lt;&gt;"",Summary!J512,"")</f>
        <v/>
      </c>
      <c r="C511" s="44" t="str">
        <f>IF(Summary!E512+Summary!H512&gt;0,Summary!E512+Summary!H512,"")</f>
        <v/>
      </c>
      <c r="D511" s="40" t="str">
        <f>IF(Summary!L512&lt;&gt;"",Summary!L512,"")</f>
        <v/>
      </c>
      <c r="E511" s="40" t="str">
        <f>IF(Summary!M512&lt;&gt;"",Summary!M512,"")</f>
        <v/>
      </c>
      <c r="F511" s="20" t="str">
        <f>IF(Summary!N512&lt;&gt;"",Summary!N512,"")</f>
        <v/>
      </c>
      <c r="G511" s="20" t="str">
        <f>IF(Summary!O512&lt;&gt;"",Summary!O512,"")</f>
        <v/>
      </c>
    </row>
    <row r="512" spans="1:7">
      <c r="A512" s="39" t="str">
        <f>IF(Summary!A513&lt;&gt;"",Summary!A513,"")</f>
        <v/>
      </c>
      <c r="B512" s="21" t="str">
        <f>IF(Summary!J513&lt;&gt;"",Summary!J513,"")</f>
        <v/>
      </c>
      <c r="C512" s="44" t="str">
        <f>IF(Summary!E513+Summary!H513&gt;0,Summary!E513+Summary!H513,"")</f>
        <v/>
      </c>
      <c r="D512" s="40" t="str">
        <f>IF(Summary!L513&lt;&gt;"",Summary!L513,"")</f>
        <v/>
      </c>
      <c r="E512" s="40" t="str">
        <f>IF(Summary!M513&lt;&gt;"",Summary!M513,"")</f>
        <v/>
      </c>
      <c r="F512" s="20" t="str">
        <f>IF(Summary!N513&lt;&gt;"",Summary!N513,"")</f>
        <v/>
      </c>
      <c r="G512" s="20" t="str">
        <f>IF(Summary!O513&lt;&gt;"",Summary!O513,"")</f>
        <v/>
      </c>
    </row>
    <row r="513" spans="1:7">
      <c r="A513" s="39" t="str">
        <f>IF(Summary!A514&lt;&gt;"",Summary!A514,"")</f>
        <v/>
      </c>
      <c r="B513" s="21" t="str">
        <f>IF(Summary!J514&lt;&gt;"",Summary!J514,"")</f>
        <v/>
      </c>
      <c r="C513" s="44" t="str">
        <f>IF(Summary!E514+Summary!H514&gt;0,Summary!E514+Summary!H514,"")</f>
        <v/>
      </c>
      <c r="D513" s="40" t="str">
        <f>IF(Summary!L514&lt;&gt;"",Summary!L514,"")</f>
        <v/>
      </c>
      <c r="E513" s="40" t="str">
        <f>IF(Summary!M514&lt;&gt;"",Summary!M514,"")</f>
        <v/>
      </c>
      <c r="F513" s="20" t="str">
        <f>IF(Summary!N514&lt;&gt;"",Summary!N514,"")</f>
        <v/>
      </c>
      <c r="G513" s="20" t="str">
        <f>IF(Summary!O514&lt;&gt;"",Summary!O514,"")</f>
        <v/>
      </c>
    </row>
    <row r="514" spans="1:7">
      <c r="A514" s="39" t="str">
        <f>IF(Summary!A515&lt;&gt;"",Summary!A515,"")</f>
        <v/>
      </c>
      <c r="B514" s="21" t="str">
        <f>IF(Summary!J515&lt;&gt;"",Summary!J515,"")</f>
        <v/>
      </c>
      <c r="C514" s="44" t="str">
        <f>IF(Summary!E515+Summary!H515&gt;0,Summary!E515+Summary!H515,"")</f>
        <v/>
      </c>
      <c r="D514" s="40" t="str">
        <f>IF(Summary!L515&lt;&gt;"",Summary!L515,"")</f>
        <v/>
      </c>
      <c r="E514" s="40" t="str">
        <f>IF(Summary!M515&lt;&gt;"",Summary!M515,"")</f>
        <v/>
      </c>
      <c r="F514" s="20" t="str">
        <f>IF(Summary!N515&lt;&gt;"",Summary!N515,"")</f>
        <v/>
      </c>
      <c r="G514" s="20" t="str">
        <f>IF(Summary!O515&lt;&gt;"",Summary!O515,"")</f>
        <v/>
      </c>
    </row>
    <row r="515" spans="1:7">
      <c r="A515" s="39" t="str">
        <f>IF(Summary!A516&lt;&gt;"",Summary!A516,"")</f>
        <v/>
      </c>
      <c r="B515" s="21" t="str">
        <f>IF(Summary!J516&lt;&gt;"",Summary!J516,"")</f>
        <v/>
      </c>
      <c r="C515" s="44" t="str">
        <f>IF(Summary!E516+Summary!H516&gt;0,Summary!E516+Summary!H516,"")</f>
        <v/>
      </c>
      <c r="D515" s="40" t="str">
        <f>IF(Summary!L516&lt;&gt;"",Summary!L516,"")</f>
        <v/>
      </c>
      <c r="E515" s="40" t="str">
        <f>IF(Summary!M516&lt;&gt;"",Summary!M516,"")</f>
        <v/>
      </c>
      <c r="F515" s="20" t="str">
        <f>IF(Summary!N516&lt;&gt;"",Summary!N516,"")</f>
        <v/>
      </c>
      <c r="G515" s="20" t="str">
        <f>IF(Summary!O516&lt;&gt;"",Summary!O516,"")</f>
        <v/>
      </c>
    </row>
    <row r="516" spans="1:7">
      <c r="A516" s="39" t="str">
        <f>IF(Summary!A517&lt;&gt;"",Summary!A517,"")</f>
        <v/>
      </c>
      <c r="B516" s="21" t="str">
        <f>IF(Summary!J517&lt;&gt;"",Summary!J517,"")</f>
        <v/>
      </c>
      <c r="C516" s="44" t="str">
        <f>IF(Summary!E517+Summary!H517&gt;0,Summary!E517+Summary!H517,"")</f>
        <v/>
      </c>
      <c r="D516" s="40" t="str">
        <f>IF(Summary!L517&lt;&gt;"",Summary!L517,"")</f>
        <v/>
      </c>
      <c r="E516" s="40" t="str">
        <f>IF(Summary!M517&lt;&gt;"",Summary!M517,"")</f>
        <v/>
      </c>
      <c r="F516" s="20" t="str">
        <f>IF(Summary!N517&lt;&gt;"",Summary!N517,"")</f>
        <v/>
      </c>
      <c r="G516" s="20" t="str">
        <f>IF(Summary!O517&lt;&gt;"",Summary!O517,"")</f>
        <v/>
      </c>
    </row>
    <row r="517" spans="1:7">
      <c r="A517" s="39" t="str">
        <f>IF(Summary!A518&lt;&gt;"",Summary!A518,"")</f>
        <v/>
      </c>
      <c r="B517" s="21" t="str">
        <f>IF(Summary!J518&lt;&gt;"",Summary!J518,"")</f>
        <v/>
      </c>
      <c r="C517" s="44" t="str">
        <f>IF(Summary!E518+Summary!H518&gt;0,Summary!E518+Summary!H518,"")</f>
        <v/>
      </c>
      <c r="D517" s="40" t="str">
        <f>IF(Summary!L518&lt;&gt;"",Summary!L518,"")</f>
        <v/>
      </c>
      <c r="E517" s="40" t="str">
        <f>IF(Summary!M518&lt;&gt;"",Summary!M518,"")</f>
        <v/>
      </c>
      <c r="F517" s="20" t="str">
        <f>IF(Summary!N518&lt;&gt;"",Summary!N518,"")</f>
        <v/>
      </c>
      <c r="G517" s="20" t="str">
        <f>IF(Summary!O518&lt;&gt;"",Summary!O518,"")</f>
        <v/>
      </c>
    </row>
    <row r="518" spans="1:7">
      <c r="A518" s="39" t="str">
        <f>IF(Summary!A519&lt;&gt;"",Summary!A519,"")</f>
        <v/>
      </c>
      <c r="B518" s="21" t="str">
        <f>IF(Summary!J519&lt;&gt;"",Summary!J519,"")</f>
        <v/>
      </c>
      <c r="C518" s="44" t="str">
        <f>IF(Summary!E519+Summary!H519&gt;0,Summary!E519+Summary!H519,"")</f>
        <v/>
      </c>
      <c r="D518" s="40" t="str">
        <f>IF(Summary!L519&lt;&gt;"",Summary!L519,"")</f>
        <v/>
      </c>
      <c r="E518" s="40" t="str">
        <f>IF(Summary!M519&lt;&gt;"",Summary!M519,"")</f>
        <v/>
      </c>
      <c r="F518" s="20" t="str">
        <f>IF(Summary!N519&lt;&gt;"",Summary!N519,"")</f>
        <v/>
      </c>
      <c r="G518" s="20" t="str">
        <f>IF(Summary!O519&lt;&gt;"",Summary!O519,"")</f>
        <v/>
      </c>
    </row>
    <row r="519" spans="1:7">
      <c r="A519" s="39" t="str">
        <f>IF(Summary!A520&lt;&gt;"",Summary!A520,"")</f>
        <v/>
      </c>
      <c r="B519" s="21" t="str">
        <f>IF(Summary!J520&lt;&gt;"",Summary!J520,"")</f>
        <v/>
      </c>
      <c r="C519" s="44" t="str">
        <f>IF(Summary!E520+Summary!H520&gt;0,Summary!E520+Summary!H520,"")</f>
        <v/>
      </c>
      <c r="D519" s="40" t="str">
        <f>IF(Summary!L520&lt;&gt;"",Summary!L520,"")</f>
        <v/>
      </c>
      <c r="E519" s="40" t="str">
        <f>IF(Summary!M520&lt;&gt;"",Summary!M520,"")</f>
        <v/>
      </c>
      <c r="F519" s="20" t="str">
        <f>IF(Summary!N520&lt;&gt;"",Summary!N520,"")</f>
        <v/>
      </c>
      <c r="G519" s="20" t="str">
        <f>IF(Summary!O520&lt;&gt;"",Summary!O520,"")</f>
        <v/>
      </c>
    </row>
    <row r="520" spans="1:7">
      <c r="A520" s="39" t="str">
        <f>IF(Summary!A521&lt;&gt;"",Summary!A521,"")</f>
        <v/>
      </c>
      <c r="B520" s="21" t="str">
        <f>IF(Summary!J521&lt;&gt;"",Summary!J521,"")</f>
        <v/>
      </c>
      <c r="C520" s="44" t="str">
        <f>IF(Summary!E521+Summary!H521&gt;0,Summary!E521+Summary!H521,"")</f>
        <v/>
      </c>
      <c r="D520" s="40" t="str">
        <f>IF(Summary!L521&lt;&gt;"",Summary!L521,"")</f>
        <v/>
      </c>
      <c r="E520" s="40" t="str">
        <f>IF(Summary!M521&lt;&gt;"",Summary!M521,"")</f>
        <v/>
      </c>
      <c r="F520" s="20" t="str">
        <f>IF(Summary!N521&lt;&gt;"",Summary!N521,"")</f>
        <v/>
      </c>
      <c r="G520" s="20" t="str">
        <f>IF(Summary!O521&lt;&gt;"",Summary!O521,"")</f>
        <v/>
      </c>
    </row>
    <row r="521" spans="1:7">
      <c r="A521" s="39" t="str">
        <f>IF(Summary!A522&lt;&gt;"",Summary!A522,"")</f>
        <v/>
      </c>
      <c r="B521" s="21" t="str">
        <f>IF(Summary!J522&lt;&gt;"",Summary!J522,"")</f>
        <v/>
      </c>
      <c r="C521" s="44" t="str">
        <f>IF(Summary!E522+Summary!H522&gt;0,Summary!E522+Summary!H522,"")</f>
        <v/>
      </c>
      <c r="D521" s="40" t="str">
        <f>IF(Summary!L522&lt;&gt;"",Summary!L522,"")</f>
        <v/>
      </c>
      <c r="E521" s="40" t="str">
        <f>IF(Summary!M522&lt;&gt;"",Summary!M522,"")</f>
        <v/>
      </c>
      <c r="F521" s="20" t="str">
        <f>IF(Summary!N522&lt;&gt;"",Summary!N522,"")</f>
        <v/>
      </c>
      <c r="G521" s="20" t="str">
        <f>IF(Summary!O522&lt;&gt;"",Summary!O522,"")</f>
        <v/>
      </c>
    </row>
    <row r="522" spans="1:7">
      <c r="A522" s="39" t="str">
        <f>IF(Summary!A523&lt;&gt;"",Summary!A523,"")</f>
        <v/>
      </c>
      <c r="B522" s="21" t="str">
        <f>IF(Summary!J523&lt;&gt;"",Summary!J523,"")</f>
        <v/>
      </c>
      <c r="C522" s="44" t="str">
        <f>IF(Summary!E523+Summary!H523&gt;0,Summary!E523+Summary!H523,"")</f>
        <v/>
      </c>
      <c r="D522" s="40" t="str">
        <f>IF(Summary!L523&lt;&gt;"",Summary!L523,"")</f>
        <v/>
      </c>
      <c r="E522" s="40" t="str">
        <f>IF(Summary!M523&lt;&gt;"",Summary!M523,"")</f>
        <v/>
      </c>
      <c r="F522" s="20" t="str">
        <f>IF(Summary!N523&lt;&gt;"",Summary!N523,"")</f>
        <v/>
      </c>
      <c r="G522" s="20" t="str">
        <f>IF(Summary!O523&lt;&gt;"",Summary!O523,"")</f>
        <v/>
      </c>
    </row>
    <row r="523" spans="1:7">
      <c r="A523" s="39" t="str">
        <f>IF(Summary!A524&lt;&gt;"",Summary!A524,"")</f>
        <v/>
      </c>
      <c r="B523" s="21" t="str">
        <f>IF(Summary!J524&lt;&gt;"",Summary!J524,"")</f>
        <v/>
      </c>
      <c r="C523" s="44" t="str">
        <f>IF(Summary!E524+Summary!H524&gt;0,Summary!E524+Summary!H524,"")</f>
        <v/>
      </c>
      <c r="D523" s="40" t="str">
        <f>IF(Summary!L524&lt;&gt;"",Summary!L524,"")</f>
        <v/>
      </c>
      <c r="E523" s="40" t="str">
        <f>IF(Summary!M524&lt;&gt;"",Summary!M524,"")</f>
        <v/>
      </c>
      <c r="F523" s="20" t="str">
        <f>IF(Summary!N524&lt;&gt;"",Summary!N524,"")</f>
        <v/>
      </c>
      <c r="G523" s="20" t="str">
        <f>IF(Summary!O524&lt;&gt;"",Summary!O524,"")</f>
        <v/>
      </c>
    </row>
    <row r="524" spans="1:7">
      <c r="A524" s="39" t="str">
        <f>IF(Summary!A525&lt;&gt;"",Summary!A525,"")</f>
        <v/>
      </c>
      <c r="B524" s="21" t="str">
        <f>IF(Summary!J525&lt;&gt;"",Summary!J525,"")</f>
        <v/>
      </c>
      <c r="C524" s="44" t="str">
        <f>IF(Summary!E525+Summary!H525&gt;0,Summary!E525+Summary!H525,"")</f>
        <v/>
      </c>
      <c r="D524" s="40" t="str">
        <f>IF(Summary!L525&lt;&gt;"",Summary!L525,"")</f>
        <v/>
      </c>
      <c r="E524" s="40" t="str">
        <f>IF(Summary!M525&lt;&gt;"",Summary!M525,"")</f>
        <v/>
      </c>
      <c r="F524" s="20" t="str">
        <f>IF(Summary!N525&lt;&gt;"",Summary!N525,"")</f>
        <v/>
      </c>
      <c r="G524" s="20" t="str">
        <f>IF(Summary!O525&lt;&gt;"",Summary!O525,"")</f>
        <v/>
      </c>
    </row>
    <row r="525" spans="1:7">
      <c r="A525" s="39" t="str">
        <f>IF(Summary!A526&lt;&gt;"",Summary!A526,"")</f>
        <v/>
      </c>
      <c r="B525" s="21" t="str">
        <f>IF(Summary!J526&lt;&gt;"",Summary!J526,"")</f>
        <v/>
      </c>
      <c r="C525" s="44" t="str">
        <f>IF(Summary!E526+Summary!H526&gt;0,Summary!E526+Summary!H526,"")</f>
        <v/>
      </c>
      <c r="D525" s="40" t="str">
        <f>IF(Summary!L526&lt;&gt;"",Summary!L526,"")</f>
        <v/>
      </c>
      <c r="E525" s="40" t="str">
        <f>IF(Summary!M526&lt;&gt;"",Summary!M526,"")</f>
        <v/>
      </c>
      <c r="F525" s="20" t="str">
        <f>IF(Summary!N526&lt;&gt;"",Summary!N526,"")</f>
        <v/>
      </c>
      <c r="G525" s="20" t="str">
        <f>IF(Summary!O526&lt;&gt;"",Summary!O526,"")</f>
        <v/>
      </c>
    </row>
    <row r="526" spans="1:7">
      <c r="A526" s="39" t="str">
        <f>IF(Summary!A527&lt;&gt;"",Summary!A527,"")</f>
        <v/>
      </c>
      <c r="B526" s="21" t="str">
        <f>IF(Summary!J527&lt;&gt;"",Summary!J527,"")</f>
        <v/>
      </c>
      <c r="C526" s="44" t="str">
        <f>IF(Summary!E527+Summary!H527&gt;0,Summary!E527+Summary!H527,"")</f>
        <v/>
      </c>
      <c r="D526" s="40" t="str">
        <f>IF(Summary!L527&lt;&gt;"",Summary!L527,"")</f>
        <v/>
      </c>
      <c r="E526" s="40" t="str">
        <f>IF(Summary!M527&lt;&gt;"",Summary!M527,"")</f>
        <v/>
      </c>
      <c r="F526" s="20" t="str">
        <f>IF(Summary!N527&lt;&gt;"",Summary!N527,"")</f>
        <v/>
      </c>
      <c r="G526" s="20" t="str">
        <f>IF(Summary!O527&lt;&gt;"",Summary!O527,"")</f>
        <v/>
      </c>
    </row>
    <row r="527" spans="1:7">
      <c r="A527" s="39" t="str">
        <f>IF(Summary!A528&lt;&gt;"",Summary!A528,"")</f>
        <v/>
      </c>
      <c r="B527" s="21" t="str">
        <f>IF(Summary!J528&lt;&gt;"",Summary!J528,"")</f>
        <v/>
      </c>
      <c r="C527" s="44" t="str">
        <f>IF(Summary!E528+Summary!H528&gt;0,Summary!E528+Summary!H528,"")</f>
        <v/>
      </c>
      <c r="D527" s="40" t="str">
        <f>IF(Summary!L528&lt;&gt;"",Summary!L528,"")</f>
        <v/>
      </c>
      <c r="E527" s="40" t="str">
        <f>IF(Summary!M528&lt;&gt;"",Summary!M528,"")</f>
        <v/>
      </c>
      <c r="F527" s="20" t="str">
        <f>IF(Summary!N528&lt;&gt;"",Summary!N528,"")</f>
        <v/>
      </c>
      <c r="G527" s="20" t="str">
        <f>IF(Summary!O528&lt;&gt;"",Summary!O528,"")</f>
        <v/>
      </c>
    </row>
    <row r="528" spans="1:7">
      <c r="A528" s="39" t="str">
        <f>IF(Summary!A529&lt;&gt;"",Summary!A529,"")</f>
        <v/>
      </c>
      <c r="B528" s="21" t="str">
        <f>IF(Summary!J529&lt;&gt;"",Summary!J529,"")</f>
        <v/>
      </c>
      <c r="C528" s="44" t="str">
        <f>IF(Summary!E529+Summary!H529&gt;0,Summary!E529+Summary!H529,"")</f>
        <v/>
      </c>
      <c r="D528" s="40" t="str">
        <f>IF(Summary!L529&lt;&gt;"",Summary!L529,"")</f>
        <v/>
      </c>
      <c r="E528" s="40" t="str">
        <f>IF(Summary!M529&lt;&gt;"",Summary!M529,"")</f>
        <v/>
      </c>
      <c r="F528" s="20" t="str">
        <f>IF(Summary!N529&lt;&gt;"",Summary!N529,"")</f>
        <v/>
      </c>
      <c r="G528" s="20" t="str">
        <f>IF(Summary!O529&lt;&gt;"",Summary!O529,"")</f>
        <v/>
      </c>
    </row>
    <row r="529" spans="1:7">
      <c r="A529" s="39" t="str">
        <f>IF(Summary!A530&lt;&gt;"",Summary!A530,"")</f>
        <v/>
      </c>
      <c r="B529" s="21" t="str">
        <f>IF(Summary!J530&lt;&gt;"",Summary!J530,"")</f>
        <v/>
      </c>
      <c r="C529" s="44" t="str">
        <f>IF(Summary!E530+Summary!H530&gt;0,Summary!E530+Summary!H530,"")</f>
        <v/>
      </c>
      <c r="D529" s="40" t="str">
        <f>IF(Summary!L530&lt;&gt;"",Summary!L530,"")</f>
        <v/>
      </c>
      <c r="E529" s="40" t="str">
        <f>IF(Summary!M530&lt;&gt;"",Summary!M530,"")</f>
        <v/>
      </c>
      <c r="F529" s="20" t="str">
        <f>IF(Summary!N530&lt;&gt;"",Summary!N530,"")</f>
        <v/>
      </c>
      <c r="G529" s="20" t="str">
        <f>IF(Summary!O530&lt;&gt;"",Summary!O530,"")</f>
        <v/>
      </c>
    </row>
    <row r="530" spans="1:7">
      <c r="A530" s="39" t="str">
        <f>IF(Summary!A531&lt;&gt;"",Summary!A531,"")</f>
        <v/>
      </c>
      <c r="B530" s="21" t="str">
        <f>IF(Summary!J531&lt;&gt;"",Summary!J531,"")</f>
        <v/>
      </c>
      <c r="C530" s="44" t="str">
        <f>IF(Summary!E531+Summary!H531&gt;0,Summary!E531+Summary!H531,"")</f>
        <v/>
      </c>
      <c r="D530" s="40" t="str">
        <f>IF(Summary!L531&lt;&gt;"",Summary!L531,"")</f>
        <v/>
      </c>
      <c r="E530" s="40" t="str">
        <f>IF(Summary!M531&lt;&gt;"",Summary!M531,"")</f>
        <v/>
      </c>
      <c r="F530" s="20" t="str">
        <f>IF(Summary!N531&lt;&gt;"",Summary!N531,"")</f>
        <v/>
      </c>
      <c r="G530" s="20" t="str">
        <f>IF(Summary!O531&lt;&gt;"",Summary!O531,"")</f>
        <v/>
      </c>
    </row>
    <row r="531" spans="1:7">
      <c r="A531" s="39" t="str">
        <f>IF(Summary!A532&lt;&gt;"",Summary!A532,"")</f>
        <v/>
      </c>
      <c r="B531" s="21" t="str">
        <f>IF(Summary!J532&lt;&gt;"",Summary!J532,"")</f>
        <v/>
      </c>
      <c r="C531" s="44" t="str">
        <f>IF(Summary!E532+Summary!H532&gt;0,Summary!E532+Summary!H532,"")</f>
        <v/>
      </c>
      <c r="D531" s="40" t="str">
        <f>IF(Summary!L532&lt;&gt;"",Summary!L532,"")</f>
        <v/>
      </c>
      <c r="E531" s="40" t="str">
        <f>IF(Summary!M532&lt;&gt;"",Summary!M532,"")</f>
        <v/>
      </c>
      <c r="F531" s="20" t="str">
        <f>IF(Summary!N532&lt;&gt;"",Summary!N532,"")</f>
        <v/>
      </c>
      <c r="G531" s="20" t="str">
        <f>IF(Summary!O532&lt;&gt;"",Summary!O532,"")</f>
        <v/>
      </c>
    </row>
    <row r="532" spans="1:7">
      <c r="A532" s="39" t="str">
        <f>IF(Summary!A533&lt;&gt;"",Summary!A533,"")</f>
        <v/>
      </c>
      <c r="B532" s="21" t="str">
        <f>IF(Summary!J533&lt;&gt;"",Summary!J533,"")</f>
        <v/>
      </c>
      <c r="C532" s="44" t="str">
        <f>IF(Summary!E533+Summary!H533&gt;0,Summary!E533+Summary!H533,"")</f>
        <v/>
      </c>
      <c r="D532" s="40" t="str">
        <f>IF(Summary!L533&lt;&gt;"",Summary!L533,"")</f>
        <v/>
      </c>
      <c r="E532" s="40" t="str">
        <f>IF(Summary!M533&lt;&gt;"",Summary!M533,"")</f>
        <v/>
      </c>
      <c r="F532" s="20" t="str">
        <f>IF(Summary!N533&lt;&gt;"",Summary!N533,"")</f>
        <v/>
      </c>
      <c r="G532" s="20" t="str">
        <f>IF(Summary!O533&lt;&gt;"",Summary!O533,"")</f>
        <v/>
      </c>
    </row>
    <row r="533" spans="1:7">
      <c r="A533" s="39" t="str">
        <f>IF(Summary!A534&lt;&gt;"",Summary!A534,"")</f>
        <v/>
      </c>
      <c r="B533" s="21" t="str">
        <f>IF(Summary!J534&lt;&gt;"",Summary!J534,"")</f>
        <v/>
      </c>
      <c r="C533" s="44" t="str">
        <f>IF(Summary!E534+Summary!H534&gt;0,Summary!E534+Summary!H534,"")</f>
        <v/>
      </c>
      <c r="D533" s="40" t="str">
        <f>IF(Summary!L534&lt;&gt;"",Summary!L534,"")</f>
        <v/>
      </c>
      <c r="E533" s="40" t="str">
        <f>IF(Summary!M534&lt;&gt;"",Summary!M534,"")</f>
        <v/>
      </c>
      <c r="F533" s="20" t="str">
        <f>IF(Summary!N534&lt;&gt;"",Summary!N534,"")</f>
        <v/>
      </c>
      <c r="G533" s="20" t="str">
        <f>IF(Summary!O534&lt;&gt;"",Summary!O534,"")</f>
        <v/>
      </c>
    </row>
    <row r="534" spans="1:7">
      <c r="A534" s="39" t="str">
        <f>IF(Summary!A535&lt;&gt;"",Summary!A535,"")</f>
        <v/>
      </c>
      <c r="B534" s="21" t="str">
        <f>IF(Summary!J535&lt;&gt;"",Summary!J535,"")</f>
        <v/>
      </c>
      <c r="C534" s="44" t="str">
        <f>IF(Summary!E535+Summary!H535&gt;0,Summary!E535+Summary!H535,"")</f>
        <v/>
      </c>
      <c r="D534" s="40" t="str">
        <f>IF(Summary!L535&lt;&gt;"",Summary!L535,"")</f>
        <v/>
      </c>
      <c r="E534" s="40" t="str">
        <f>IF(Summary!M535&lt;&gt;"",Summary!M535,"")</f>
        <v/>
      </c>
      <c r="F534" s="20" t="str">
        <f>IF(Summary!N535&lt;&gt;"",Summary!N535,"")</f>
        <v/>
      </c>
      <c r="G534" s="20" t="str">
        <f>IF(Summary!O535&lt;&gt;"",Summary!O535,"")</f>
        <v/>
      </c>
    </row>
    <row r="535" spans="1:7">
      <c r="A535" s="39" t="str">
        <f>IF(Summary!A536&lt;&gt;"",Summary!A536,"")</f>
        <v/>
      </c>
      <c r="B535" s="21" t="str">
        <f>IF(Summary!J536&lt;&gt;"",Summary!J536,"")</f>
        <v/>
      </c>
      <c r="C535" s="44" t="str">
        <f>IF(Summary!E536+Summary!H536&gt;0,Summary!E536+Summary!H536,"")</f>
        <v/>
      </c>
      <c r="D535" s="40" t="str">
        <f>IF(Summary!L536&lt;&gt;"",Summary!L536,"")</f>
        <v/>
      </c>
      <c r="E535" s="40" t="str">
        <f>IF(Summary!M536&lt;&gt;"",Summary!M536,"")</f>
        <v/>
      </c>
      <c r="F535" s="20" t="str">
        <f>IF(Summary!N536&lt;&gt;"",Summary!N536,"")</f>
        <v/>
      </c>
      <c r="G535" s="20" t="str">
        <f>IF(Summary!O536&lt;&gt;"",Summary!O536,"")</f>
        <v/>
      </c>
    </row>
    <row r="536" spans="1:7">
      <c r="A536" s="39" t="str">
        <f>IF(Summary!A537&lt;&gt;"",Summary!A537,"")</f>
        <v/>
      </c>
      <c r="B536" s="21" t="str">
        <f>IF(Summary!J537&lt;&gt;"",Summary!J537,"")</f>
        <v/>
      </c>
      <c r="C536" s="44" t="str">
        <f>IF(Summary!E537+Summary!H537&gt;0,Summary!E537+Summary!H537,"")</f>
        <v/>
      </c>
      <c r="D536" s="40" t="str">
        <f>IF(Summary!L537&lt;&gt;"",Summary!L537,"")</f>
        <v/>
      </c>
      <c r="E536" s="40" t="str">
        <f>IF(Summary!M537&lt;&gt;"",Summary!M537,"")</f>
        <v/>
      </c>
      <c r="F536" s="20" t="str">
        <f>IF(Summary!N537&lt;&gt;"",Summary!N537,"")</f>
        <v/>
      </c>
      <c r="G536" s="20" t="str">
        <f>IF(Summary!O537&lt;&gt;"",Summary!O537,"")</f>
        <v/>
      </c>
    </row>
    <row r="537" spans="1:7">
      <c r="A537" s="39" t="str">
        <f>IF(Summary!A538&lt;&gt;"",Summary!A538,"")</f>
        <v/>
      </c>
      <c r="B537" s="21" t="str">
        <f>IF(Summary!J538&lt;&gt;"",Summary!J538,"")</f>
        <v/>
      </c>
      <c r="C537" s="44" t="str">
        <f>IF(Summary!E538+Summary!H538&gt;0,Summary!E538+Summary!H538,"")</f>
        <v/>
      </c>
      <c r="D537" s="40" t="str">
        <f>IF(Summary!L538&lt;&gt;"",Summary!L538,"")</f>
        <v/>
      </c>
      <c r="E537" s="40" t="str">
        <f>IF(Summary!M538&lt;&gt;"",Summary!M538,"")</f>
        <v/>
      </c>
      <c r="F537" s="20" t="str">
        <f>IF(Summary!N538&lt;&gt;"",Summary!N538,"")</f>
        <v/>
      </c>
      <c r="G537" s="20" t="str">
        <f>IF(Summary!O538&lt;&gt;"",Summary!O538,"")</f>
        <v/>
      </c>
    </row>
    <row r="538" spans="1:7">
      <c r="A538" s="39" t="str">
        <f>IF(Summary!A539&lt;&gt;"",Summary!A539,"")</f>
        <v/>
      </c>
      <c r="B538" s="21" t="str">
        <f>IF(Summary!J539&lt;&gt;"",Summary!J539,"")</f>
        <v/>
      </c>
      <c r="C538" s="44" t="str">
        <f>IF(Summary!E539+Summary!H539&gt;0,Summary!E539+Summary!H539,"")</f>
        <v/>
      </c>
      <c r="D538" s="40" t="str">
        <f>IF(Summary!L539&lt;&gt;"",Summary!L539,"")</f>
        <v/>
      </c>
      <c r="E538" s="40" t="str">
        <f>IF(Summary!M539&lt;&gt;"",Summary!M539,"")</f>
        <v/>
      </c>
      <c r="F538" s="20" t="str">
        <f>IF(Summary!N539&lt;&gt;"",Summary!N539,"")</f>
        <v/>
      </c>
      <c r="G538" s="20" t="str">
        <f>IF(Summary!O539&lt;&gt;"",Summary!O539,"")</f>
        <v/>
      </c>
    </row>
    <row r="539" spans="1:7">
      <c r="A539" s="39" t="str">
        <f>IF(Summary!A540&lt;&gt;"",Summary!A540,"")</f>
        <v/>
      </c>
      <c r="B539" s="21" t="str">
        <f>IF(Summary!J540&lt;&gt;"",Summary!J540,"")</f>
        <v/>
      </c>
      <c r="C539" s="44" t="str">
        <f>IF(Summary!E540+Summary!H540&gt;0,Summary!E540+Summary!H540,"")</f>
        <v/>
      </c>
      <c r="D539" s="40" t="str">
        <f>IF(Summary!L540&lt;&gt;"",Summary!L540,"")</f>
        <v/>
      </c>
      <c r="E539" s="40" t="str">
        <f>IF(Summary!M540&lt;&gt;"",Summary!M540,"")</f>
        <v/>
      </c>
      <c r="F539" s="20" t="str">
        <f>IF(Summary!N540&lt;&gt;"",Summary!N540,"")</f>
        <v/>
      </c>
      <c r="G539" s="20" t="str">
        <f>IF(Summary!O540&lt;&gt;"",Summary!O540,"")</f>
        <v/>
      </c>
    </row>
    <row r="540" spans="1:7">
      <c r="A540" s="39" t="str">
        <f>IF(Summary!A541&lt;&gt;"",Summary!A541,"")</f>
        <v/>
      </c>
      <c r="B540" s="21" t="str">
        <f>IF(Summary!J541&lt;&gt;"",Summary!J541,"")</f>
        <v/>
      </c>
      <c r="C540" s="44" t="str">
        <f>IF(Summary!E541+Summary!H541&gt;0,Summary!E541+Summary!H541,"")</f>
        <v/>
      </c>
      <c r="D540" s="40" t="str">
        <f>IF(Summary!L541&lt;&gt;"",Summary!L541,"")</f>
        <v/>
      </c>
      <c r="E540" s="40" t="str">
        <f>IF(Summary!M541&lt;&gt;"",Summary!M541,"")</f>
        <v/>
      </c>
      <c r="F540" s="20" t="str">
        <f>IF(Summary!N541&lt;&gt;"",Summary!N541,"")</f>
        <v/>
      </c>
      <c r="G540" s="20" t="str">
        <f>IF(Summary!O541&lt;&gt;"",Summary!O541,"")</f>
        <v/>
      </c>
    </row>
    <row r="541" spans="1:7">
      <c r="A541" s="39" t="str">
        <f>IF(Summary!A542&lt;&gt;"",Summary!A542,"")</f>
        <v/>
      </c>
      <c r="B541" s="21" t="str">
        <f>IF(Summary!J542&lt;&gt;"",Summary!J542,"")</f>
        <v/>
      </c>
      <c r="C541" s="44" t="str">
        <f>IF(Summary!E542+Summary!H542&gt;0,Summary!E542+Summary!H542,"")</f>
        <v/>
      </c>
      <c r="D541" s="40" t="str">
        <f>IF(Summary!L542&lt;&gt;"",Summary!L542,"")</f>
        <v/>
      </c>
      <c r="E541" s="40" t="str">
        <f>IF(Summary!M542&lt;&gt;"",Summary!M542,"")</f>
        <v/>
      </c>
      <c r="F541" s="20" t="str">
        <f>IF(Summary!N542&lt;&gt;"",Summary!N542,"")</f>
        <v/>
      </c>
      <c r="G541" s="20" t="str">
        <f>IF(Summary!O542&lt;&gt;"",Summary!O542,"")</f>
        <v/>
      </c>
    </row>
    <row r="542" spans="1:7">
      <c r="A542" s="39" t="str">
        <f>IF(Summary!A543&lt;&gt;"",Summary!A543,"")</f>
        <v/>
      </c>
      <c r="B542" s="21" t="str">
        <f>IF(Summary!J543&lt;&gt;"",Summary!J543,"")</f>
        <v/>
      </c>
      <c r="C542" s="44" t="str">
        <f>IF(Summary!E543+Summary!H543&gt;0,Summary!E543+Summary!H543,"")</f>
        <v/>
      </c>
      <c r="D542" s="40" t="str">
        <f>IF(Summary!L543&lt;&gt;"",Summary!L543,"")</f>
        <v/>
      </c>
      <c r="E542" s="40" t="str">
        <f>IF(Summary!M543&lt;&gt;"",Summary!M543,"")</f>
        <v/>
      </c>
      <c r="F542" s="20" t="str">
        <f>IF(Summary!N543&lt;&gt;"",Summary!N543,"")</f>
        <v/>
      </c>
      <c r="G542" s="20" t="str">
        <f>IF(Summary!O543&lt;&gt;"",Summary!O543,"")</f>
        <v/>
      </c>
    </row>
    <row r="543" spans="1:7">
      <c r="A543" s="39" t="str">
        <f>IF(Summary!A544&lt;&gt;"",Summary!A544,"")</f>
        <v/>
      </c>
      <c r="B543" s="21" t="str">
        <f>IF(Summary!J544&lt;&gt;"",Summary!J544,"")</f>
        <v/>
      </c>
      <c r="C543" s="44" t="str">
        <f>IF(Summary!E544+Summary!H544&gt;0,Summary!E544+Summary!H544,"")</f>
        <v/>
      </c>
      <c r="D543" s="40" t="str">
        <f>IF(Summary!L544&lt;&gt;"",Summary!L544,"")</f>
        <v/>
      </c>
      <c r="E543" s="40" t="str">
        <f>IF(Summary!M544&lt;&gt;"",Summary!M544,"")</f>
        <v/>
      </c>
      <c r="F543" s="20" t="str">
        <f>IF(Summary!N544&lt;&gt;"",Summary!N544,"")</f>
        <v/>
      </c>
      <c r="G543" s="20" t="str">
        <f>IF(Summary!O544&lt;&gt;"",Summary!O544,"")</f>
        <v/>
      </c>
    </row>
    <row r="544" spans="1:7">
      <c r="A544" s="39" t="str">
        <f>IF(Summary!A545&lt;&gt;"",Summary!A545,"")</f>
        <v/>
      </c>
      <c r="B544" s="21" t="str">
        <f>IF(Summary!J545&lt;&gt;"",Summary!J545,"")</f>
        <v/>
      </c>
      <c r="C544" s="44" t="str">
        <f>IF(Summary!E545+Summary!H545&gt;0,Summary!E545+Summary!H545,"")</f>
        <v/>
      </c>
      <c r="D544" s="40" t="str">
        <f>IF(Summary!L545&lt;&gt;"",Summary!L545,"")</f>
        <v/>
      </c>
      <c r="E544" s="40" t="str">
        <f>IF(Summary!M545&lt;&gt;"",Summary!M545,"")</f>
        <v/>
      </c>
      <c r="F544" s="20" t="str">
        <f>IF(Summary!N545&lt;&gt;"",Summary!N545,"")</f>
        <v/>
      </c>
      <c r="G544" s="20" t="str">
        <f>IF(Summary!O545&lt;&gt;"",Summary!O545,"")</f>
        <v/>
      </c>
    </row>
    <row r="545" spans="1:7">
      <c r="A545" s="39" t="str">
        <f>IF(Summary!A546&lt;&gt;"",Summary!A546,"")</f>
        <v/>
      </c>
      <c r="B545" s="21" t="str">
        <f>IF(Summary!J546&lt;&gt;"",Summary!J546,"")</f>
        <v/>
      </c>
      <c r="C545" s="44" t="str">
        <f>IF(Summary!E546+Summary!H546&gt;0,Summary!E546+Summary!H546,"")</f>
        <v/>
      </c>
      <c r="D545" s="40" t="str">
        <f>IF(Summary!L546&lt;&gt;"",Summary!L546,"")</f>
        <v/>
      </c>
      <c r="E545" s="40" t="str">
        <f>IF(Summary!M546&lt;&gt;"",Summary!M546,"")</f>
        <v/>
      </c>
      <c r="F545" s="20" t="str">
        <f>IF(Summary!N546&lt;&gt;"",Summary!N546,"")</f>
        <v/>
      </c>
      <c r="G545" s="20" t="str">
        <f>IF(Summary!O546&lt;&gt;"",Summary!O546,"")</f>
        <v/>
      </c>
    </row>
    <row r="546" spans="1:7">
      <c r="A546" s="39" t="str">
        <f>IF(Summary!A547&lt;&gt;"",Summary!A547,"")</f>
        <v/>
      </c>
      <c r="B546" s="21" t="str">
        <f>IF(Summary!J547&lt;&gt;"",Summary!J547,"")</f>
        <v/>
      </c>
      <c r="C546" s="44" t="str">
        <f>IF(Summary!E547+Summary!H547&gt;0,Summary!E547+Summary!H547,"")</f>
        <v/>
      </c>
      <c r="D546" s="40" t="str">
        <f>IF(Summary!L547&lt;&gt;"",Summary!L547,"")</f>
        <v/>
      </c>
      <c r="E546" s="40" t="str">
        <f>IF(Summary!M547&lt;&gt;"",Summary!M547,"")</f>
        <v/>
      </c>
      <c r="F546" s="20" t="str">
        <f>IF(Summary!N547&lt;&gt;"",Summary!N547,"")</f>
        <v/>
      </c>
      <c r="G546" s="20" t="str">
        <f>IF(Summary!O547&lt;&gt;"",Summary!O547,"")</f>
        <v/>
      </c>
    </row>
    <row r="547" spans="1:7">
      <c r="A547" s="39" t="str">
        <f>IF(Summary!A548&lt;&gt;"",Summary!A548,"")</f>
        <v/>
      </c>
      <c r="B547" s="21" t="str">
        <f>IF(Summary!J548&lt;&gt;"",Summary!J548,"")</f>
        <v/>
      </c>
      <c r="C547" s="44" t="str">
        <f>IF(Summary!E548+Summary!H548&gt;0,Summary!E548+Summary!H548,"")</f>
        <v/>
      </c>
      <c r="D547" s="40" t="str">
        <f>IF(Summary!L548&lt;&gt;"",Summary!L548,"")</f>
        <v/>
      </c>
      <c r="E547" s="40" t="str">
        <f>IF(Summary!M548&lt;&gt;"",Summary!M548,"")</f>
        <v/>
      </c>
      <c r="F547" s="20" t="str">
        <f>IF(Summary!N548&lt;&gt;"",Summary!N548,"")</f>
        <v/>
      </c>
      <c r="G547" s="20" t="str">
        <f>IF(Summary!O548&lt;&gt;"",Summary!O548,"")</f>
        <v/>
      </c>
    </row>
    <row r="548" spans="1:7">
      <c r="A548" s="39" t="str">
        <f>IF(Summary!A549&lt;&gt;"",Summary!A549,"")</f>
        <v/>
      </c>
      <c r="B548" s="21" t="str">
        <f>IF(Summary!J549&lt;&gt;"",Summary!J549,"")</f>
        <v/>
      </c>
      <c r="C548" s="44" t="str">
        <f>IF(Summary!E549+Summary!H549&gt;0,Summary!E549+Summary!H549,"")</f>
        <v/>
      </c>
      <c r="D548" s="40" t="str">
        <f>IF(Summary!L549&lt;&gt;"",Summary!L549,"")</f>
        <v/>
      </c>
      <c r="E548" s="40" t="str">
        <f>IF(Summary!M549&lt;&gt;"",Summary!M549,"")</f>
        <v/>
      </c>
      <c r="F548" s="20" t="str">
        <f>IF(Summary!N549&lt;&gt;"",Summary!N549,"")</f>
        <v/>
      </c>
      <c r="G548" s="20" t="str">
        <f>IF(Summary!O549&lt;&gt;"",Summary!O549,"")</f>
        <v/>
      </c>
    </row>
    <row r="549" spans="1:7">
      <c r="A549" s="39" t="str">
        <f>IF(Summary!A550&lt;&gt;"",Summary!A550,"")</f>
        <v/>
      </c>
      <c r="B549" s="21" t="str">
        <f>IF(Summary!J550&lt;&gt;"",Summary!J550,"")</f>
        <v/>
      </c>
      <c r="C549" s="44" t="str">
        <f>IF(Summary!E550+Summary!H550&gt;0,Summary!E550+Summary!H550,"")</f>
        <v/>
      </c>
      <c r="D549" s="40" t="str">
        <f>IF(Summary!L550&lt;&gt;"",Summary!L550,"")</f>
        <v/>
      </c>
      <c r="E549" s="40" t="str">
        <f>IF(Summary!M550&lt;&gt;"",Summary!M550,"")</f>
        <v/>
      </c>
      <c r="F549" s="20" t="str">
        <f>IF(Summary!N550&lt;&gt;"",Summary!N550,"")</f>
        <v/>
      </c>
      <c r="G549" s="20" t="str">
        <f>IF(Summary!O550&lt;&gt;"",Summary!O550,"")</f>
        <v/>
      </c>
    </row>
    <row r="550" spans="1:7">
      <c r="A550" s="39" t="str">
        <f>IF(Summary!A551&lt;&gt;"",Summary!A551,"")</f>
        <v/>
      </c>
      <c r="B550" s="21" t="str">
        <f>IF(Summary!J551&lt;&gt;"",Summary!J551,"")</f>
        <v/>
      </c>
      <c r="C550" s="44" t="str">
        <f>IF(Summary!E551+Summary!H551&gt;0,Summary!E551+Summary!H551,"")</f>
        <v/>
      </c>
      <c r="D550" s="40" t="str">
        <f>IF(Summary!L551&lt;&gt;"",Summary!L551,"")</f>
        <v/>
      </c>
      <c r="E550" s="40" t="str">
        <f>IF(Summary!M551&lt;&gt;"",Summary!M551,"")</f>
        <v/>
      </c>
      <c r="F550" s="20" t="str">
        <f>IF(Summary!N551&lt;&gt;"",Summary!N551,"")</f>
        <v/>
      </c>
      <c r="G550" s="20" t="str">
        <f>IF(Summary!O551&lt;&gt;"",Summary!O551,"")</f>
        <v/>
      </c>
    </row>
    <row r="551" spans="1:7">
      <c r="A551" s="39" t="str">
        <f>IF(Summary!A552&lt;&gt;"",Summary!A552,"")</f>
        <v/>
      </c>
      <c r="B551" s="21" t="str">
        <f>IF(Summary!J552&lt;&gt;"",Summary!J552,"")</f>
        <v/>
      </c>
      <c r="C551" s="44" t="str">
        <f>IF(Summary!E552+Summary!H552&gt;0,Summary!E552+Summary!H552,"")</f>
        <v/>
      </c>
      <c r="D551" s="40" t="str">
        <f>IF(Summary!L552&lt;&gt;"",Summary!L552,"")</f>
        <v/>
      </c>
      <c r="E551" s="40" t="str">
        <f>IF(Summary!M552&lt;&gt;"",Summary!M552,"")</f>
        <v/>
      </c>
      <c r="F551" s="20" t="str">
        <f>IF(Summary!N552&lt;&gt;"",Summary!N552,"")</f>
        <v/>
      </c>
      <c r="G551" s="20" t="str">
        <f>IF(Summary!O552&lt;&gt;"",Summary!O552,"")</f>
        <v/>
      </c>
    </row>
    <row r="552" spans="1:7">
      <c r="A552" s="39" t="str">
        <f>IF(Summary!A553&lt;&gt;"",Summary!A553,"")</f>
        <v/>
      </c>
      <c r="B552" s="21" t="str">
        <f>IF(Summary!J553&lt;&gt;"",Summary!J553,"")</f>
        <v/>
      </c>
      <c r="C552" s="44" t="str">
        <f>IF(Summary!E553+Summary!H553&gt;0,Summary!E553+Summary!H553,"")</f>
        <v/>
      </c>
      <c r="D552" s="40" t="str">
        <f>IF(Summary!L553&lt;&gt;"",Summary!L553,"")</f>
        <v/>
      </c>
      <c r="E552" s="40" t="str">
        <f>IF(Summary!M553&lt;&gt;"",Summary!M553,"")</f>
        <v/>
      </c>
      <c r="F552" s="20" t="str">
        <f>IF(Summary!N553&lt;&gt;"",Summary!N553,"")</f>
        <v/>
      </c>
      <c r="G552" s="20" t="str">
        <f>IF(Summary!O553&lt;&gt;"",Summary!O553,"")</f>
        <v/>
      </c>
    </row>
    <row r="553" spans="1:7">
      <c r="A553" s="39" t="str">
        <f>IF(Summary!A554&lt;&gt;"",Summary!A554,"")</f>
        <v/>
      </c>
      <c r="B553" s="21" t="str">
        <f>IF(Summary!J554&lt;&gt;"",Summary!J554,"")</f>
        <v/>
      </c>
      <c r="C553" s="44" t="str">
        <f>IF(Summary!E554+Summary!H554&gt;0,Summary!E554+Summary!H554,"")</f>
        <v/>
      </c>
      <c r="D553" s="40" t="str">
        <f>IF(Summary!L554&lt;&gt;"",Summary!L554,"")</f>
        <v/>
      </c>
      <c r="E553" s="40" t="str">
        <f>IF(Summary!M554&lt;&gt;"",Summary!M554,"")</f>
        <v/>
      </c>
      <c r="F553" s="20" t="str">
        <f>IF(Summary!N554&lt;&gt;"",Summary!N554,"")</f>
        <v/>
      </c>
      <c r="G553" s="20" t="str">
        <f>IF(Summary!O554&lt;&gt;"",Summary!O554,"")</f>
        <v/>
      </c>
    </row>
    <row r="554" spans="1:7">
      <c r="A554" s="39" t="str">
        <f>IF(Summary!A555&lt;&gt;"",Summary!A555,"")</f>
        <v/>
      </c>
      <c r="B554" s="21" t="str">
        <f>IF(Summary!J555&lt;&gt;"",Summary!J555,"")</f>
        <v/>
      </c>
      <c r="C554" s="44" t="str">
        <f>IF(Summary!E555+Summary!H555&gt;0,Summary!E555+Summary!H555,"")</f>
        <v/>
      </c>
      <c r="D554" s="40" t="str">
        <f>IF(Summary!L555&lt;&gt;"",Summary!L555,"")</f>
        <v/>
      </c>
      <c r="E554" s="40" t="str">
        <f>IF(Summary!M555&lt;&gt;"",Summary!M555,"")</f>
        <v/>
      </c>
      <c r="F554" s="20" t="str">
        <f>IF(Summary!N555&lt;&gt;"",Summary!N555,"")</f>
        <v/>
      </c>
      <c r="G554" s="20" t="str">
        <f>IF(Summary!O555&lt;&gt;"",Summary!O555,"")</f>
        <v/>
      </c>
    </row>
    <row r="555" spans="1:7">
      <c r="A555" s="39" t="str">
        <f>IF(Summary!A556&lt;&gt;"",Summary!A556,"")</f>
        <v/>
      </c>
      <c r="B555" s="21" t="str">
        <f>IF(Summary!J556&lt;&gt;"",Summary!J556,"")</f>
        <v/>
      </c>
      <c r="C555" s="44" t="str">
        <f>IF(Summary!E556+Summary!H556&gt;0,Summary!E556+Summary!H556,"")</f>
        <v/>
      </c>
      <c r="D555" s="40" t="str">
        <f>IF(Summary!L556&lt;&gt;"",Summary!L556,"")</f>
        <v/>
      </c>
      <c r="E555" s="40" t="str">
        <f>IF(Summary!M556&lt;&gt;"",Summary!M556,"")</f>
        <v/>
      </c>
      <c r="F555" s="20" t="str">
        <f>IF(Summary!N556&lt;&gt;"",Summary!N556,"")</f>
        <v/>
      </c>
      <c r="G555" s="20" t="str">
        <f>IF(Summary!O556&lt;&gt;"",Summary!O556,"")</f>
        <v/>
      </c>
    </row>
    <row r="556" spans="1:7">
      <c r="A556" s="39" t="str">
        <f>IF(Summary!A557&lt;&gt;"",Summary!A557,"")</f>
        <v/>
      </c>
      <c r="B556" s="21" t="str">
        <f>IF(Summary!J557&lt;&gt;"",Summary!J557,"")</f>
        <v/>
      </c>
      <c r="C556" s="44" t="str">
        <f>IF(Summary!E557+Summary!H557&gt;0,Summary!E557+Summary!H557,"")</f>
        <v/>
      </c>
      <c r="D556" s="40" t="str">
        <f>IF(Summary!L557&lt;&gt;"",Summary!L557,"")</f>
        <v/>
      </c>
      <c r="E556" s="40" t="str">
        <f>IF(Summary!M557&lt;&gt;"",Summary!M557,"")</f>
        <v/>
      </c>
      <c r="F556" s="20" t="str">
        <f>IF(Summary!N557&lt;&gt;"",Summary!N557,"")</f>
        <v/>
      </c>
      <c r="G556" s="20" t="str">
        <f>IF(Summary!O557&lt;&gt;"",Summary!O557,"")</f>
        <v/>
      </c>
    </row>
    <row r="557" spans="1:7">
      <c r="A557" s="39" t="str">
        <f>IF(Summary!A558&lt;&gt;"",Summary!A558,"")</f>
        <v/>
      </c>
      <c r="B557" s="21" t="str">
        <f>IF(Summary!J558&lt;&gt;"",Summary!J558,"")</f>
        <v/>
      </c>
      <c r="C557" s="44" t="str">
        <f>IF(Summary!E558+Summary!H558&gt;0,Summary!E558+Summary!H558,"")</f>
        <v/>
      </c>
      <c r="D557" s="40" t="str">
        <f>IF(Summary!L558&lt;&gt;"",Summary!L558,"")</f>
        <v/>
      </c>
      <c r="E557" s="40" t="str">
        <f>IF(Summary!M558&lt;&gt;"",Summary!M558,"")</f>
        <v/>
      </c>
      <c r="F557" s="20" t="str">
        <f>IF(Summary!N558&lt;&gt;"",Summary!N558,"")</f>
        <v/>
      </c>
      <c r="G557" s="20" t="str">
        <f>IF(Summary!O558&lt;&gt;"",Summary!O558,"")</f>
        <v/>
      </c>
    </row>
    <row r="558" spans="1:7">
      <c r="A558" s="39" t="str">
        <f>IF(Summary!A559&lt;&gt;"",Summary!A559,"")</f>
        <v/>
      </c>
      <c r="B558" s="21" t="str">
        <f>IF(Summary!J559&lt;&gt;"",Summary!J559,"")</f>
        <v/>
      </c>
      <c r="C558" s="44" t="str">
        <f>IF(Summary!E559+Summary!H559&gt;0,Summary!E559+Summary!H559,"")</f>
        <v/>
      </c>
      <c r="D558" s="40" t="str">
        <f>IF(Summary!L559&lt;&gt;"",Summary!L559,"")</f>
        <v/>
      </c>
      <c r="E558" s="40" t="str">
        <f>IF(Summary!M559&lt;&gt;"",Summary!M559,"")</f>
        <v/>
      </c>
      <c r="F558" s="20" t="str">
        <f>IF(Summary!N559&lt;&gt;"",Summary!N559,"")</f>
        <v/>
      </c>
      <c r="G558" s="20" t="str">
        <f>IF(Summary!O559&lt;&gt;"",Summary!O559,"")</f>
        <v/>
      </c>
    </row>
    <row r="559" spans="1:7">
      <c r="A559" s="39" t="str">
        <f>IF(Summary!A560&lt;&gt;"",Summary!A560,"")</f>
        <v/>
      </c>
      <c r="B559" s="21" t="str">
        <f>IF(Summary!J560&lt;&gt;"",Summary!J560,"")</f>
        <v/>
      </c>
      <c r="C559" s="44" t="str">
        <f>IF(Summary!E560+Summary!H560&gt;0,Summary!E560+Summary!H560,"")</f>
        <v/>
      </c>
      <c r="D559" s="40" t="str">
        <f>IF(Summary!L560&lt;&gt;"",Summary!L560,"")</f>
        <v/>
      </c>
      <c r="E559" s="40" t="str">
        <f>IF(Summary!M560&lt;&gt;"",Summary!M560,"")</f>
        <v/>
      </c>
      <c r="F559" s="20" t="str">
        <f>IF(Summary!N560&lt;&gt;"",Summary!N560,"")</f>
        <v/>
      </c>
      <c r="G559" s="20" t="str">
        <f>IF(Summary!O560&lt;&gt;"",Summary!O560,"")</f>
        <v/>
      </c>
    </row>
    <row r="560" spans="1:7">
      <c r="A560" s="39" t="str">
        <f>IF(Summary!A561&lt;&gt;"",Summary!A561,"")</f>
        <v/>
      </c>
      <c r="B560" s="21" t="str">
        <f>IF(Summary!J561&lt;&gt;"",Summary!J561,"")</f>
        <v/>
      </c>
      <c r="C560" s="44" t="str">
        <f>IF(Summary!E561+Summary!H561&gt;0,Summary!E561+Summary!H561,"")</f>
        <v/>
      </c>
      <c r="D560" s="40" t="str">
        <f>IF(Summary!L561&lt;&gt;"",Summary!L561,"")</f>
        <v/>
      </c>
      <c r="E560" s="40" t="str">
        <f>IF(Summary!M561&lt;&gt;"",Summary!M561,"")</f>
        <v/>
      </c>
      <c r="F560" s="20" t="str">
        <f>IF(Summary!N561&lt;&gt;"",Summary!N561,"")</f>
        <v/>
      </c>
      <c r="G560" s="20" t="str">
        <f>IF(Summary!O561&lt;&gt;"",Summary!O561,"")</f>
        <v/>
      </c>
    </row>
    <row r="561" spans="1:7">
      <c r="A561" s="39" t="str">
        <f>IF(Summary!A562&lt;&gt;"",Summary!A562,"")</f>
        <v/>
      </c>
      <c r="B561" s="21" t="str">
        <f>IF(Summary!J562&lt;&gt;"",Summary!J562,"")</f>
        <v/>
      </c>
      <c r="C561" s="44" t="str">
        <f>IF(Summary!E562+Summary!H562&gt;0,Summary!E562+Summary!H562,"")</f>
        <v/>
      </c>
      <c r="D561" s="40" t="str">
        <f>IF(Summary!L562&lt;&gt;"",Summary!L562,"")</f>
        <v/>
      </c>
      <c r="E561" s="40" t="str">
        <f>IF(Summary!M562&lt;&gt;"",Summary!M562,"")</f>
        <v/>
      </c>
      <c r="F561" s="20" t="str">
        <f>IF(Summary!N562&lt;&gt;"",Summary!N562,"")</f>
        <v/>
      </c>
      <c r="G561" s="20" t="str">
        <f>IF(Summary!O562&lt;&gt;"",Summary!O562,"")</f>
        <v/>
      </c>
    </row>
    <row r="562" spans="1:7">
      <c r="A562" s="39" t="str">
        <f>IF(Summary!A563&lt;&gt;"",Summary!A563,"")</f>
        <v/>
      </c>
      <c r="B562" s="21" t="str">
        <f>IF(Summary!J563&lt;&gt;"",Summary!J563,"")</f>
        <v/>
      </c>
      <c r="C562" s="44" t="str">
        <f>IF(Summary!E563+Summary!H563&gt;0,Summary!E563+Summary!H563,"")</f>
        <v/>
      </c>
      <c r="D562" s="40" t="str">
        <f>IF(Summary!L563&lt;&gt;"",Summary!L563,"")</f>
        <v/>
      </c>
      <c r="E562" s="40" t="str">
        <f>IF(Summary!M563&lt;&gt;"",Summary!M563,"")</f>
        <v/>
      </c>
      <c r="F562" s="20" t="str">
        <f>IF(Summary!N563&lt;&gt;"",Summary!N563,"")</f>
        <v/>
      </c>
      <c r="G562" s="20" t="str">
        <f>IF(Summary!O563&lt;&gt;"",Summary!O563,"")</f>
        <v/>
      </c>
    </row>
    <row r="563" spans="1:7">
      <c r="A563" s="39" t="str">
        <f>IF(Summary!A564&lt;&gt;"",Summary!A564,"")</f>
        <v/>
      </c>
      <c r="B563" s="21" t="str">
        <f>IF(Summary!J564&lt;&gt;"",Summary!J564,"")</f>
        <v/>
      </c>
      <c r="C563" s="44" t="str">
        <f>IF(Summary!E564+Summary!H564&gt;0,Summary!E564+Summary!H564,"")</f>
        <v/>
      </c>
      <c r="D563" s="40" t="str">
        <f>IF(Summary!L564&lt;&gt;"",Summary!L564,"")</f>
        <v/>
      </c>
      <c r="E563" s="40" t="str">
        <f>IF(Summary!M564&lt;&gt;"",Summary!M564,"")</f>
        <v/>
      </c>
      <c r="F563" s="20" t="str">
        <f>IF(Summary!N564&lt;&gt;"",Summary!N564,"")</f>
        <v/>
      </c>
      <c r="G563" s="20" t="str">
        <f>IF(Summary!O564&lt;&gt;"",Summary!O564,"")</f>
        <v/>
      </c>
    </row>
    <row r="564" spans="1:7">
      <c r="A564" s="39" t="str">
        <f>IF(Summary!A565&lt;&gt;"",Summary!A565,"")</f>
        <v/>
      </c>
      <c r="B564" s="21" t="str">
        <f>IF(Summary!J565&lt;&gt;"",Summary!J565,"")</f>
        <v/>
      </c>
      <c r="C564" s="44" t="str">
        <f>IF(Summary!E565+Summary!H565&gt;0,Summary!E565+Summary!H565,"")</f>
        <v/>
      </c>
      <c r="D564" s="40" t="str">
        <f>IF(Summary!L565&lt;&gt;"",Summary!L565,"")</f>
        <v/>
      </c>
      <c r="E564" s="40" t="str">
        <f>IF(Summary!M565&lt;&gt;"",Summary!M565,"")</f>
        <v/>
      </c>
      <c r="F564" s="20" t="str">
        <f>IF(Summary!N565&lt;&gt;"",Summary!N565,"")</f>
        <v/>
      </c>
      <c r="G564" s="20" t="str">
        <f>IF(Summary!O565&lt;&gt;"",Summary!O565,"")</f>
        <v/>
      </c>
    </row>
    <row r="565" spans="1:7">
      <c r="A565" s="39" t="str">
        <f>IF(Summary!A566&lt;&gt;"",Summary!A566,"")</f>
        <v/>
      </c>
      <c r="B565" s="21" t="str">
        <f>IF(Summary!J566&lt;&gt;"",Summary!J566,"")</f>
        <v/>
      </c>
      <c r="C565" s="44" t="str">
        <f>IF(Summary!E566+Summary!H566&gt;0,Summary!E566+Summary!H566,"")</f>
        <v/>
      </c>
      <c r="D565" s="40" t="str">
        <f>IF(Summary!L566&lt;&gt;"",Summary!L566,"")</f>
        <v/>
      </c>
      <c r="E565" s="40" t="str">
        <f>IF(Summary!M566&lt;&gt;"",Summary!M566,"")</f>
        <v/>
      </c>
      <c r="F565" s="20" t="str">
        <f>IF(Summary!N566&lt;&gt;"",Summary!N566,"")</f>
        <v/>
      </c>
      <c r="G565" s="20" t="str">
        <f>IF(Summary!O566&lt;&gt;"",Summary!O566,"")</f>
        <v/>
      </c>
    </row>
    <row r="566" spans="1:7">
      <c r="A566" s="39" t="str">
        <f>IF(Summary!A567&lt;&gt;"",Summary!A567,"")</f>
        <v/>
      </c>
      <c r="B566" s="21" t="str">
        <f>IF(Summary!J567&lt;&gt;"",Summary!J567,"")</f>
        <v/>
      </c>
      <c r="C566" s="44" t="str">
        <f>IF(Summary!E567+Summary!H567&gt;0,Summary!E567+Summary!H567,"")</f>
        <v/>
      </c>
      <c r="D566" s="40" t="str">
        <f>IF(Summary!L567&lt;&gt;"",Summary!L567,"")</f>
        <v/>
      </c>
      <c r="E566" s="40" t="str">
        <f>IF(Summary!M567&lt;&gt;"",Summary!M567,"")</f>
        <v/>
      </c>
      <c r="F566" s="20" t="str">
        <f>IF(Summary!N567&lt;&gt;"",Summary!N567,"")</f>
        <v/>
      </c>
      <c r="G566" s="20" t="str">
        <f>IF(Summary!O567&lt;&gt;"",Summary!O567,"")</f>
        <v/>
      </c>
    </row>
    <row r="567" spans="1:7">
      <c r="A567" s="39" t="str">
        <f>IF(Summary!A568&lt;&gt;"",Summary!A568,"")</f>
        <v/>
      </c>
      <c r="B567" s="21" t="str">
        <f>IF(Summary!J568&lt;&gt;"",Summary!J568,"")</f>
        <v/>
      </c>
      <c r="C567" s="44" t="str">
        <f>IF(Summary!E568+Summary!H568&gt;0,Summary!E568+Summary!H568,"")</f>
        <v/>
      </c>
      <c r="D567" s="40" t="str">
        <f>IF(Summary!L568&lt;&gt;"",Summary!L568,"")</f>
        <v/>
      </c>
      <c r="E567" s="40" t="str">
        <f>IF(Summary!M568&lt;&gt;"",Summary!M568,"")</f>
        <v/>
      </c>
      <c r="F567" s="20" t="str">
        <f>IF(Summary!N568&lt;&gt;"",Summary!N568,"")</f>
        <v/>
      </c>
      <c r="G567" s="20" t="str">
        <f>IF(Summary!O568&lt;&gt;"",Summary!O568,"")</f>
        <v/>
      </c>
    </row>
    <row r="568" spans="1:7">
      <c r="A568" s="39" t="str">
        <f>IF(Summary!A569&lt;&gt;"",Summary!A569,"")</f>
        <v/>
      </c>
      <c r="B568" s="21" t="str">
        <f>IF(Summary!J569&lt;&gt;"",Summary!J569,"")</f>
        <v/>
      </c>
      <c r="C568" s="44" t="str">
        <f>IF(Summary!E569+Summary!H569&gt;0,Summary!E569+Summary!H569,"")</f>
        <v/>
      </c>
      <c r="D568" s="40" t="str">
        <f>IF(Summary!L569&lt;&gt;"",Summary!L569,"")</f>
        <v/>
      </c>
      <c r="E568" s="40" t="str">
        <f>IF(Summary!M569&lt;&gt;"",Summary!M569,"")</f>
        <v/>
      </c>
      <c r="F568" s="20" t="str">
        <f>IF(Summary!N569&lt;&gt;"",Summary!N569,"")</f>
        <v/>
      </c>
      <c r="G568" s="20" t="str">
        <f>IF(Summary!O569&lt;&gt;"",Summary!O569,"")</f>
        <v/>
      </c>
    </row>
    <row r="569" spans="1:7">
      <c r="A569" s="39" t="str">
        <f>IF(Summary!A570&lt;&gt;"",Summary!A570,"")</f>
        <v/>
      </c>
      <c r="B569" s="21" t="str">
        <f>IF(Summary!J570&lt;&gt;"",Summary!J570,"")</f>
        <v/>
      </c>
      <c r="C569" s="44" t="str">
        <f>IF(Summary!E570+Summary!H570&gt;0,Summary!E570+Summary!H570,"")</f>
        <v/>
      </c>
      <c r="D569" s="40" t="str">
        <f>IF(Summary!L570&lt;&gt;"",Summary!L570,"")</f>
        <v/>
      </c>
      <c r="E569" s="40" t="str">
        <f>IF(Summary!M570&lt;&gt;"",Summary!M570,"")</f>
        <v/>
      </c>
      <c r="F569" s="20" t="str">
        <f>IF(Summary!N570&lt;&gt;"",Summary!N570,"")</f>
        <v/>
      </c>
      <c r="G569" s="20" t="str">
        <f>IF(Summary!O570&lt;&gt;"",Summary!O570,"")</f>
        <v/>
      </c>
    </row>
    <row r="570" spans="1:7">
      <c r="A570" s="39" t="str">
        <f>IF(Summary!A571&lt;&gt;"",Summary!A571,"")</f>
        <v/>
      </c>
      <c r="B570" s="21" t="str">
        <f>IF(Summary!J571&lt;&gt;"",Summary!J571,"")</f>
        <v/>
      </c>
      <c r="C570" s="44" t="str">
        <f>IF(Summary!E571+Summary!H571&gt;0,Summary!E571+Summary!H571,"")</f>
        <v/>
      </c>
      <c r="D570" s="40" t="str">
        <f>IF(Summary!L571&lt;&gt;"",Summary!L571,"")</f>
        <v/>
      </c>
      <c r="E570" s="40" t="str">
        <f>IF(Summary!M571&lt;&gt;"",Summary!M571,"")</f>
        <v/>
      </c>
      <c r="F570" s="20" t="str">
        <f>IF(Summary!N571&lt;&gt;"",Summary!N571,"")</f>
        <v/>
      </c>
      <c r="G570" s="20" t="str">
        <f>IF(Summary!O571&lt;&gt;"",Summary!O571,"")</f>
        <v/>
      </c>
    </row>
    <row r="571" spans="1:7">
      <c r="A571" s="39" t="str">
        <f>IF(Summary!A572&lt;&gt;"",Summary!A572,"")</f>
        <v/>
      </c>
      <c r="B571" s="21" t="str">
        <f>IF(Summary!J572&lt;&gt;"",Summary!J572,"")</f>
        <v/>
      </c>
      <c r="C571" s="44" t="str">
        <f>IF(Summary!E572+Summary!H572&gt;0,Summary!E572+Summary!H572,"")</f>
        <v/>
      </c>
      <c r="D571" s="40" t="str">
        <f>IF(Summary!L572&lt;&gt;"",Summary!L572,"")</f>
        <v/>
      </c>
      <c r="E571" s="40" t="str">
        <f>IF(Summary!M572&lt;&gt;"",Summary!M572,"")</f>
        <v/>
      </c>
      <c r="F571" s="20" t="str">
        <f>IF(Summary!N572&lt;&gt;"",Summary!N572,"")</f>
        <v/>
      </c>
      <c r="G571" s="20" t="str">
        <f>IF(Summary!O572&lt;&gt;"",Summary!O572,"")</f>
        <v/>
      </c>
    </row>
    <row r="572" spans="1:7">
      <c r="A572" s="39" t="str">
        <f>IF(Summary!A573&lt;&gt;"",Summary!A573,"")</f>
        <v/>
      </c>
      <c r="B572" s="21" t="str">
        <f>IF(Summary!J573&lt;&gt;"",Summary!J573,"")</f>
        <v/>
      </c>
      <c r="C572" s="44" t="str">
        <f>IF(Summary!E573+Summary!H573&gt;0,Summary!E573+Summary!H573,"")</f>
        <v/>
      </c>
      <c r="D572" s="40" t="str">
        <f>IF(Summary!L573&lt;&gt;"",Summary!L573,"")</f>
        <v/>
      </c>
      <c r="E572" s="40" t="str">
        <f>IF(Summary!M573&lt;&gt;"",Summary!M573,"")</f>
        <v/>
      </c>
      <c r="F572" s="20" t="str">
        <f>IF(Summary!N573&lt;&gt;"",Summary!N573,"")</f>
        <v/>
      </c>
      <c r="G572" s="20" t="str">
        <f>IF(Summary!O573&lt;&gt;"",Summary!O573,"")</f>
        <v/>
      </c>
    </row>
    <row r="573" spans="1:7">
      <c r="A573" s="39" t="str">
        <f>IF(Summary!A574&lt;&gt;"",Summary!A574,"")</f>
        <v/>
      </c>
      <c r="B573" s="21" t="str">
        <f>IF(Summary!J574&lt;&gt;"",Summary!J574,"")</f>
        <v/>
      </c>
      <c r="C573" s="44" t="str">
        <f>IF(Summary!E574+Summary!H574&gt;0,Summary!E574+Summary!H574,"")</f>
        <v/>
      </c>
      <c r="D573" s="40" t="str">
        <f>IF(Summary!L574&lt;&gt;"",Summary!L574,"")</f>
        <v/>
      </c>
      <c r="E573" s="40" t="str">
        <f>IF(Summary!M574&lt;&gt;"",Summary!M574,"")</f>
        <v/>
      </c>
      <c r="F573" s="20" t="str">
        <f>IF(Summary!N574&lt;&gt;"",Summary!N574,"")</f>
        <v/>
      </c>
      <c r="G573" s="20" t="str">
        <f>IF(Summary!O574&lt;&gt;"",Summary!O574,"")</f>
        <v/>
      </c>
    </row>
    <row r="574" spans="1:7">
      <c r="A574" s="39" t="str">
        <f>IF(Summary!A575&lt;&gt;"",Summary!A575,"")</f>
        <v/>
      </c>
      <c r="B574" s="21" t="str">
        <f>IF(Summary!J575&lt;&gt;"",Summary!J575,"")</f>
        <v/>
      </c>
      <c r="C574" s="44" t="str">
        <f>IF(Summary!E575+Summary!H575&gt;0,Summary!E575+Summary!H575,"")</f>
        <v/>
      </c>
      <c r="D574" s="40" t="str">
        <f>IF(Summary!L575&lt;&gt;"",Summary!L575,"")</f>
        <v/>
      </c>
      <c r="E574" s="40" t="str">
        <f>IF(Summary!M575&lt;&gt;"",Summary!M575,"")</f>
        <v/>
      </c>
      <c r="F574" s="20" t="str">
        <f>IF(Summary!N575&lt;&gt;"",Summary!N575,"")</f>
        <v/>
      </c>
      <c r="G574" s="20" t="str">
        <f>IF(Summary!O575&lt;&gt;"",Summary!O575,"")</f>
        <v/>
      </c>
    </row>
    <row r="575" spans="1:7">
      <c r="A575" s="39" t="str">
        <f>IF(Summary!A576&lt;&gt;"",Summary!A576,"")</f>
        <v/>
      </c>
      <c r="B575" s="21" t="str">
        <f>IF(Summary!J576&lt;&gt;"",Summary!J576,"")</f>
        <v/>
      </c>
      <c r="C575" s="44" t="str">
        <f>IF(Summary!E576+Summary!H576&gt;0,Summary!E576+Summary!H576,"")</f>
        <v/>
      </c>
      <c r="D575" s="40" t="str">
        <f>IF(Summary!L576&lt;&gt;"",Summary!L576,"")</f>
        <v/>
      </c>
      <c r="E575" s="40" t="str">
        <f>IF(Summary!M576&lt;&gt;"",Summary!M576,"")</f>
        <v/>
      </c>
      <c r="F575" s="20" t="str">
        <f>IF(Summary!N576&lt;&gt;"",Summary!N576,"")</f>
        <v/>
      </c>
      <c r="G575" s="20" t="str">
        <f>IF(Summary!O576&lt;&gt;"",Summary!O576,"")</f>
        <v/>
      </c>
    </row>
    <row r="576" spans="1:7">
      <c r="A576" s="39" t="str">
        <f>IF(Summary!A577&lt;&gt;"",Summary!A577,"")</f>
        <v/>
      </c>
      <c r="B576" s="21" t="str">
        <f>IF(Summary!J577&lt;&gt;"",Summary!J577,"")</f>
        <v/>
      </c>
      <c r="C576" s="44" t="str">
        <f>IF(Summary!E577+Summary!H577&gt;0,Summary!E577+Summary!H577,"")</f>
        <v/>
      </c>
      <c r="D576" s="40" t="str">
        <f>IF(Summary!L577&lt;&gt;"",Summary!L577,"")</f>
        <v/>
      </c>
      <c r="E576" s="40" t="str">
        <f>IF(Summary!M577&lt;&gt;"",Summary!M577,"")</f>
        <v/>
      </c>
      <c r="F576" s="20" t="str">
        <f>IF(Summary!N577&lt;&gt;"",Summary!N577,"")</f>
        <v/>
      </c>
      <c r="G576" s="20" t="str">
        <f>IF(Summary!O577&lt;&gt;"",Summary!O577,"")</f>
        <v/>
      </c>
    </row>
    <row r="577" spans="1:7">
      <c r="A577" s="39" t="str">
        <f>IF(Summary!A578&lt;&gt;"",Summary!A578,"")</f>
        <v/>
      </c>
      <c r="B577" s="21" t="str">
        <f>IF(Summary!J578&lt;&gt;"",Summary!J578,"")</f>
        <v/>
      </c>
      <c r="C577" s="44" t="str">
        <f>IF(Summary!E578+Summary!H578&gt;0,Summary!E578+Summary!H578,"")</f>
        <v/>
      </c>
      <c r="D577" s="40" t="str">
        <f>IF(Summary!L578&lt;&gt;"",Summary!L578,"")</f>
        <v/>
      </c>
      <c r="E577" s="40" t="str">
        <f>IF(Summary!M578&lt;&gt;"",Summary!M578,"")</f>
        <v/>
      </c>
      <c r="F577" s="20" t="str">
        <f>IF(Summary!N578&lt;&gt;"",Summary!N578,"")</f>
        <v/>
      </c>
      <c r="G577" s="20" t="str">
        <f>IF(Summary!O578&lt;&gt;"",Summary!O578,"")</f>
        <v/>
      </c>
    </row>
    <row r="578" spans="1:7">
      <c r="A578" s="39" t="str">
        <f>IF(Summary!A579&lt;&gt;"",Summary!A579,"")</f>
        <v/>
      </c>
      <c r="B578" s="21" t="str">
        <f>IF(Summary!J579&lt;&gt;"",Summary!J579,"")</f>
        <v/>
      </c>
      <c r="C578" s="44" t="str">
        <f>IF(Summary!E579+Summary!H579&gt;0,Summary!E579+Summary!H579,"")</f>
        <v/>
      </c>
      <c r="D578" s="40" t="str">
        <f>IF(Summary!L579&lt;&gt;"",Summary!L579,"")</f>
        <v/>
      </c>
      <c r="E578" s="40" t="str">
        <f>IF(Summary!M579&lt;&gt;"",Summary!M579,"")</f>
        <v/>
      </c>
      <c r="F578" s="20" t="str">
        <f>IF(Summary!N579&lt;&gt;"",Summary!N579,"")</f>
        <v/>
      </c>
      <c r="G578" s="20" t="str">
        <f>IF(Summary!O579&lt;&gt;"",Summary!O579,"")</f>
        <v/>
      </c>
    </row>
    <row r="579" spans="1:7">
      <c r="A579" s="39" t="str">
        <f>IF(Summary!A580&lt;&gt;"",Summary!A580,"")</f>
        <v/>
      </c>
      <c r="B579" s="21" t="str">
        <f>IF(Summary!J580&lt;&gt;"",Summary!J580,"")</f>
        <v/>
      </c>
      <c r="C579" s="44" t="str">
        <f>IF(Summary!E580+Summary!H580&gt;0,Summary!E580+Summary!H580,"")</f>
        <v/>
      </c>
      <c r="D579" s="40" t="str">
        <f>IF(Summary!L580&lt;&gt;"",Summary!L580,"")</f>
        <v/>
      </c>
      <c r="E579" s="40" t="str">
        <f>IF(Summary!M580&lt;&gt;"",Summary!M580,"")</f>
        <v/>
      </c>
      <c r="F579" s="20" t="str">
        <f>IF(Summary!N580&lt;&gt;"",Summary!N580,"")</f>
        <v/>
      </c>
      <c r="G579" s="20" t="str">
        <f>IF(Summary!O580&lt;&gt;"",Summary!O580,"")</f>
        <v/>
      </c>
    </row>
    <row r="580" spans="1:7">
      <c r="A580" s="39" t="str">
        <f>IF(Summary!A581&lt;&gt;"",Summary!A581,"")</f>
        <v/>
      </c>
      <c r="B580" s="21" t="str">
        <f>IF(Summary!J581&lt;&gt;"",Summary!J581,"")</f>
        <v/>
      </c>
      <c r="C580" s="44" t="str">
        <f>IF(Summary!E581+Summary!H581&gt;0,Summary!E581+Summary!H581,"")</f>
        <v/>
      </c>
      <c r="D580" s="40" t="str">
        <f>IF(Summary!L581&lt;&gt;"",Summary!L581,"")</f>
        <v/>
      </c>
      <c r="E580" s="40" t="str">
        <f>IF(Summary!M581&lt;&gt;"",Summary!M581,"")</f>
        <v/>
      </c>
      <c r="F580" s="20" t="str">
        <f>IF(Summary!N581&lt;&gt;"",Summary!N581,"")</f>
        <v/>
      </c>
      <c r="G580" s="20" t="str">
        <f>IF(Summary!O581&lt;&gt;"",Summary!O581,"")</f>
        <v/>
      </c>
    </row>
    <row r="581" spans="1:7">
      <c r="A581" s="39" t="str">
        <f>IF(Summary!A582&lt;&gt;"",Summary!A582,"")</f>
        <v/>
      </c>
      <c r="B581" s="21" t="str">
        <f>IF(Summary!J582&lt;&gt;"",Summary!J582,"")</f>
        <v/>
      </c>
      <c r="C581" s="44" t="str">
        <f>IF(Summary!E582+Summary!H582&gt;0,Summary!E582+Summary!H582,"")</f>
        <v/>
      </c>
      <c r="D581" s="40" t="str">
        <f>IF(Summary!L582&lt;&gt;"",Summary!L582,"")</f>
        <v/>
      </c>
      <c r="E581" s="40" t="str">
        <f>IF(Summary!M582&lt;&gt;"",Summary!M582,"")</f>
        <v/>
      </c>
      <c r="F581" s="20" t="str">
        <f>IF(Summary!N582&lt;&gt;"",Summary!N582,"")</f>
        <v/>
      </c>
      <c r="G581" s="20" t="str">
        <f>IF(Summary!O582&lt;&gt;"",Summary!O582,"")</f>
        <v/>
      </c>
    </row>
    <row r="582" spans="1:7">
      <c r="A582" s="39" t="str">
        <f>IF(Summary!A583&lt;&gt;"",Summary!A583,"")</f>
        <v/>
      </c>
      <c r="B582" s="21" t="str">
        <f>IF(Summary!J583&lt;&gt;"",Summary!J583,"")</f>
        <v/>
      </c>
      <c r="C582" s="44" t="str">
        <f>IF(Summary!E583+Summary!H583&gt;0,Summary!E583+Summary!H583,"")</f>
        <v/>
      </c>
      <c r="D582" s="40" t="str">
        <f>IF(Summary!L583&lt;&gt;"",Summary!L583,"")</f>
        <v/>
      </c>
      <c r="E582" s="40" t="str">
        <f>IF(Summary!M583&lt;&gt;"",Summary!M583,"")</f>
        <v/>
      </c>
      <c r="F582" s="20" t="str">
        <f>IF(Summary!N583&lt;&gt;"",Summary!N583,"")</f>
        <v/>
      </c>
      <c r="G582" s="20" t="str">
        <f>IF(Summary!O583&lt;&gt;"",Summary!O583,"")</f>
        <v/>
      </c>
    </row>
    <row r="583" spans="1:7">
      <c r="A583" s="39" t="str">
        <f>IF(Summary!A584&lt;&gt;"",Summary!A584,"")</f>
        <v/>
      </c>
      <c r="B583" s="21" t="str">
        <f>IF(Summary!J584&lt;&gt;"",Summary!J584,"")</f>
        <v/>
      </c>
      <c r="C583" s="44" t="str">
        <f>IF(Summary!E584+Summary!H584&gt;0,Summary!E584+Summary!H584,"")</f>
        <v/>
      </c>
      <c r="D583" s="40" t="str">
        <f>IF(Summary!L584&lt;&gt;"",Summary!L584,"")</f>
        <v/>
      </c>
      <c r="E583" s="40" t="str">
        <f>IF(Summary!M584&lt;&gt;"",Summary!M584,"")</f>
        <v/>
      </c>
      <c r="F583" s="20" t="str">
        <f>IF(Summary!N584&lt;&gt;"",Summary!N584,"")</f>
        <v/>
      </c>
      <c r="G583" s="20" t="str">
        <f>IF(Summary!O584&lt;&gt;"",Summary!O584,"")</f>
        <v/>
      </c>
    </row>
    <row r="584" spans="1:7">
      <c r="A584" s="39" t="str">
        <f>IF(Summary!A585&lt;&gt;"",Summary!A585,"")</f>
        <v/>
      </c>
      <c r="B584" s="21" t="str">
        <f>IF(Summary!J585&lt;&gt;"",Summary!J585,"")</f>
        <v/>
      </c>
      <c r="C584" s="44" t="str">
        <f>IF(Summary!E585+Summary!H585&gt;0,Summary!E585+Summary!H585,"")</f>
        <v/>
      </c>
      <c r="D584" s="40" t="str">
        <f>IF(Summary!L585&lt;&gt;"",Summary!L585,"")</f>
        <v/>
      </c>
      <c r="E584" s="40" t="str">
        <f>IF(Summary!M585&lt;&gt;"",Summary!M585,"")</f>
        <v/>
      </c>
      <c r="F584" s="20" t="str">
        <f>IF(Summary!N585&lt;&gt;"",Summary!N585,"")</f>
        <v/>
      </c>
      <c r="G584" s="20" t="str">
        <f>IF(Summary!O585&lt;&gt;"",Summary!O585,"")</f>
        <v/>
      </c>
    </row>
    <row r="585" spans="1:7">
      <c r="A585" s="39" t="str">
        <f>IF(Summary!A586&lt;&gt;"",Summary!A586,"")</f>
        <v/>
      </c>
      <c r="B585" s="21" t="str">
        <f>IF(Summary!J586&lt;&gt;"",Summary!J586,"")</f>
        <v/>
      </c>
      <c r="C585" s="44" t="str">
        <f>IF(Summary!E586+Summary!H586&gt;0,Summary!E586+Summary!H586,"")</f>
        <v/>
      </c>
      <c r="D585" s="40" t="str">
        <f>IF(Summary!L586&lt;&gt;"",Summary!L586,"")</f>
        <v/>
      </c>
      <c r="E585" s="40" t="str">
        <f>IF(Summary!M586&lt;&gt;"",Summary!M586,"")</f>
        <v/>
      </c>
      <c r="F585" s="20" t="str">
        <f>IF(Summary!N586&lt;&gt;"",Summary!N586,"")</f>
        <v/>
      </c>
      <c r="G585" s="20" t="str">
        <f>IF(Summary!O586&lt;&gt;"",Summary!O586,"")</f>
        <v/>
      </c>
    </row>
    <row r="586" spans="1:7">
      <c r="A586" s="39" t="str">
        <f>IF(Summary!A587&lt;&gt;"",Summary!A587,"")</f>
        <v/>
      </c>
      <c r="B586" s="21" t="str">
        <f>IF(Summary!J587&lt;&gt;"",Summary!J587,"")</f>
        <v/>
      </c>
      <c r="C586" s="44" t="str">
        <f>IF(Summary!E587+Summary!H587&gt;0,Summary!E587+Summary!H587,"")</f>
        <v/>
      </c>
      <c r="D586" s="40" t="str">
        <f>IF(Summary!L587&lt;&gt;"",Summary!L587,"")</f>
        <v/>
      </c>
      <c r="E586" s="40" t="str">
        <f>IF(Summary!M587&lt;&gt;"",Summary!M587,"")</f>
        <v/>
      </c>
      <c r="F586" s="20" t="str">
        <f>IF(Summary!N587&lt;&gt;"",Summary!N587,"")</f>
        <v/>
      </c>
      <c r="G586" s="20" t="str">
        <f>IF(Summary!O587&lt;&gt;"",Summary!O587,"")</f>
        <v/>
      </c>
    </row>
    <row r="587" spans="1:7">
      <c r="A587" s="39" t="str">
        <f>IF(Summary!A588&lt;&gt;"",Summary!A588,"")</f>
        <v/>
      </c>
      <c r="B587" s="21" t="str">
        <f>IF(Summary!J588&lt;&gt;"",Summary!J588,"")</f>
        <v/>
      </c>
      <c r="C587" s="44" t="str">
        <f>IF(Summary!E588+Summary!H588&gt;0,Summary!E588+Summary!H588,"")</f>
        <v/>
      </c>
      <c r="D587" s="40" t="str">
        <f>IF(Summary!L588&lt;&gt;"",Summary!L588,"")</f>
        <v/>
      </c>
      <c r="E587" s="40" t="str">
        <f>IF(Summary!M588&lt;&gt;"",Summary!M588,"")</f>
        <v/>
      </c>
      <c r="F587" s="20" t="str">
        <f>IF(Summary!N588&lt;&gt;"",Summary!N588,"")</f>
        <v/>
      </c>
      <c r="G587" s="20" t="str">
        <f>IF(Summary!O588&lt;&gt;"",Summary!O588,"")</f>
        <v/>
      </c>
    </row>
    <row r="588" spans="1:7">
      <c r="A588" s="39" t="str">
        <f>IF(Summary!A589&lt;&gt;"",Summary!A589,"")</f>
        <v/>
      </c>
      <c r="B588" s="21" t="str">
        <f>IF(Summary!J589&lt;&gt;"",Summary!J589,"")</f>
        <v/>
      </c>
      <c r="C588" s="44" t="str">
        <f>IF(Summary!E589+Summary!H589&gt;0,Summary!E589+Summary!H589,"")</f>
        <v/>
      </c>
      <c r="D588" s="40" t="str">
        <f>IF(Summary!L589&lt;&gt;"",Summary!L589,"")</f>
        <v/>
      </c>
      <c r="E588" s="40" t="str">
        <f>IF(Summary!M589&lt;&gt;"",Summary!M589,"")</f>
        <v/>
      </c>
      <c r="F588" s="20" t="str">
        <f>IF(Summary!N589&lt;&gt;"",Summary!N589,"")</f>
        <v/>
      </c>
      <c r="G588" s="20" t="str">
        <f>IF(Summary!O589&lt;&gt;"",Summary!O589,"")</f>
        <v/>
      </c>
    </row>
    <row r="589" spans="1:7">
      <c r="A589" s="39" t="str">
        <f>IF(Summary!A590&lt;&gt;"",Summary!A590,"")</f>
        <v/>
      </c>
      <c r="B589" s="21" t="str">
        <f>IF(Summary!J590&lt;&gt;"",Summary!J590,"")</f>
        <v/>
      </c>
      <c r="C589" s="44" t="str">
        <f>IF(Summary!E590+Summary!H590&gt;0,Summary!E590+Summary!H590,"")</f>
        <v/>
      </c>
      <c r="D589" s="40" t="str">
        <f>IF(Summary!L590&lt;&gt;"",Summary!L590,"")</f>
        <v/>
      </c>
      <c r="E589" s="40" t="str">
        <f>IF(Summary!M590&lt;&gt;"",Summary!M590,"")</f>
        <v/>
      </c>
      <c r="F589" s="20" t="str">
        <f>IF(Summary!N590&lt;&gt;"",Summary!N590,"")</f>
        <v/>
      </c>
      <c r="G589" s="20" t="str">
        <f>IF(Summary!O590&lt;&gt;"",Summary!O590,"")</f>
        <v/>
      </c>
    </row>
    <row r="590" spans="1:7">
      <c r="A590" s="39" t="str">
        <f>IF(Summary!A591&lt;&gt;"",Summary!A591,"")</f>
        <v/>
      </c>
      <c r="B590" s="21" t="str">
        <f>IF(Summary!J591&lt;&gt;"",Summary!J591,"")</f>
        <v/>
      </c>
      <c r="C590" s="44" t="str">
        <f>IF(Summary!E591+Summary!H591&gt;0,Summary!E591+Summary!H591,"")</f>
        <v/>
      </c>
      <c r="D590" s="40" t="str">
        <f>IF(Summary!L591&lt;&gt;"",Summary!L591,"")</f>
        <v/>
      </c>
      <c r="E590" s="40" t="str">
        <f>IF(Summary!M591&lt;&gt;"",Summary!M591,"")</f>
        <v/>
      </c>
      <c r="F590" s="20" t="str">
        <f>IF(Summary!N591&lt;&gt;"",Summary!N591,"")</f>
        <v/>
      </c>
      <c r="G590" s="20" t="str">
        <f>IF(Summary!O591&lt;&gt;"",Summary!O591,"")</f>
        <v/>
      </c>
    </row>
    <row r="591" spans="1:7">
      <c r="A591" s="39" t="str">
        <f>IF(Summary!A592&lt;&gt;"",Summary!A592,"")</f>
        <v/>
      </c>
      <c r="B591" s="21" t="str">
        <f>IF(Summary!J592&lt;&gt;"",Summary!J592,"")</f>
        <v/>
      </c>
      <c r="C591" s="44" t="str">
        <f>IF(Summary!E592+Summary!H592&gt;0,Summary!E592+Summary!H592,"")</f>
        <v/>
      </c>
      <c r="D591" s="40" t="str">
        <f>IF(Summary!L592&lt;&gt;"",Summary!L592,"")</f>
        <v/>
      </c>
      <c r="E591" s="40" t="str">
        <f>IF(Summary!M592&lt;&gt;"",Summary!M592,"")</f>
        <v/>
      </c>
      <c r="F591" s="20" t="str">
        <f>IF(Summary!N592&lt;&gt;"",Summary!N592,"")</f>
        <v/>
      </c>
      <c r="G591" s="20" t="str">
        <f>IF(Summary!O592&lt;&gt;"",Summary!O592,"")</f>
        <v/>
      </c>
    </row>
    <row r="592" spans="1:7">
      <c r="A592" s="39" t="str">
        <f>IF(Summary!A593&lt;&gt;"",Summary!A593,"")</f>
        <v/>
      </c>
      <c r="B592" s="21" t="str">
        <f>IF(Summary!J593&lt;&gt;"",Summary!J593,"")</f>
        <v/>
      </c>
      <c r="C592" s="44" t="str">
        <f>IF(Summary!E593+Summary!H593&gt;0,Summary!E593+Summary!H593,"")</f>
        <v/>
      </c>
      <c r="D592" s="40" t="str">
        <f>IF(Summary!L593&lt;&gt;"",Summary!L593,"")</f>
        <v/>
      </c>
      <c r="E592" s="40" t="str">
        <f>IF(Summary!M593&lt;&gt;"",Summary!M593,"")</f>
        <v/>
      </c>
      <c r="F592" s="20" t="str">
        <f>IF(Summary!N593&lt;&gt;"",Summary!N593,"")</f>
        <v/>
      </c>
      <c r="G592" s="20" t="str">
        <f>IF(Summary!O593&lt;&gt;"",Summary!O593,"")</f>
        <v/>
      </c>
    </row>
    <row r="593" spans="1:7">
      <c r="A593" s="39" t="str">
        <f>IF(Summary!A594&lt;&gt;"",Summary!A594,"")</f>
        <v/>
      </c>
      <c r="B593" s="21" t="str">
        <f>IF(Summary!J594&lt;&gt;"",Summary!J594,"")</f>
        <v/>
      </c>
      <c r="C593" s="44" t="str">
        <f>IF(Summary!E594+Summary!H594&gt;0,Summary!E594+Summary!H594,"")</f>
        <v/>
      </c>
      <c r="D593" s="40" t="str">
        <f>IF(Summary!L594&lt;&gt;"",Summary!L594,"")</f>
        <v/>
      </c>
      <c r="E593" s="40" t="str">
        <f>IF(Summary!M594&lt;&gt;"",Summary!M594,"")</f>
        <v/>
      </c>
      <c r="F593" s="20" t="str">
        <f>IF(Summary!N594&lt;&gt;"",Summary!N594,"")</f>
        <v/>
      </c>
      <c r="G593" s="20" t="str">
        <f>IF(Summary!O594&lt;&gt;"",Summary!O594,"")</f>
        <v/>
      </c>
    </row>
    <row r="594" spans="1:7">
      <c r="A594" s="39" t="str">
        <f>IF(Summary!A595&lt;&gt;"",Summary!A595,"")</f>
        <v/>
      </c>
      <c r="B594" s="21" t="str">
        <f>IF(Summary!J595&lt;&gt;"",Summary!J595,"")</f>
        <v/>
      </c>
      <c r="C594" s="44" t="str">
        <f>IF(Summary!E595+Summary!H595&gt;0,Summary!E595+Summary!H595,"")</f>
        <v/>
      </c>
      <c r="D594" s="40" t="str">
        <f>IF(Summary!L595&lt;&gt;"",Summary!L595,"")</f>
        <v/>
      </c>
      <c r="E594" s="40" t="str">
        <f>IF(Summary!M595&lt;&gt;"",Summary!M595,"")</f>
        <v/>
      </c>
      <c r="F594" s="20" t="str">
        <f>IF(Summary!N595&lt;&gt;"",Summary!N595,"")</f>
        <v/>
      </c>
      <c r="G594" s="20" t="str">
        <f>IF(Summary!O595&lt;&gt;"",Summary!O595,"")</f>
        <v/>
      </c>
    </row>
    <row r="595" spans="1:7">
      <c r="A595" s="39" t="str">
        <f>IF(Summary!A596&lt;&gt;"",Summary!A596,"")</f>
        <v/>
      </c>
      <c r="B595" s="21" t="str">
        <f>IF(Summary!J596&lt;&gt;"",Summary!J596,"")</f>
        <v/>
      </c>
      <c r="C595" s="44" t="str">
        <f>IF(Summary!E596+Summary!H596&gt;0,Summary!E596+Summary!H596,"")</f>
        <v/>
      </c>
      <c r="D595" s="40" t="str">
        <f>IF(Summary!L596&lt;&gt;"",Summary!L596,"")</f>
        <v/>
      </c>
      <c r="E595" s="40" t="str">
        <f>IF(Summary!M596&lt;&gt;"",Summary!M596,"")</f>
        <v/>
      </c>
      <c r="F595" s="20" t="str">
        <f>IF(Summary!N596&lt;&gt;"",Summary!N596,"")</f>
        <v/>
      </c>
      <c r="G595" s="20" t="str">
        <f>IF(Summary!O596&lt;&gt;"",Summary!O596,"")</f>
        <v/>
      </c>
    </row>
    <row r="596" spans="1:7">
      <c r="A596" s="39" t="str">
        <f>IF(Summary!A597&lt;&gt;"",Summary!A597,"")</f>
        <v/>
      </c>
      <c r="B596" s="21" t="str">
        <f>IF(Summary!J597&lt;&gt;"",Summary!J597,"")</f>
        <v/>
      </c>
      <c r="C596" s="44" t="str">
        <f>IF(Summary!E597+Summary!H597&gt;0,Summary!E597+Summary!H597,"")</f>
        <v/>
      </c>
      <c r="D596" s="40" t="str">
        <f>IF(Summary!L597&lt;&gt;"",Summary!L597,"")</f>
        <v/>
      </c>
      <c r="E596" s="40" t="str">
        <f>IF(Summary!M597&lt;&gt;"",Summary!M597,"")</f>
        <v/>
      </c>
      <c r="F596" s="20" t="str">
        <f>IF(Summary!N597&lt;&gt;"",Summary!N597,"")</f>
        <v/>
      </c>
      <c r="G596" s="20" t="str">
        <f>IF(Summary!O597&lt;&gt;"",Summary!O597,"")</f>
        <v/>
      </c>
    </row>
    <row r="597" spans="1:7">
      <c r="A597" s="39" t="str">
        <f>IF(Summary!A598&lt;&gt;"",Summary!A598,"")</f>
        <v/>
      </c>
      <c r="B597" s="21" t="str">
        <f>IF(Summary!J598&lt;&gt;"",Summary!J598,"")</f>
        <v/>
      </c>
      <c r="C597" s="44" t="str">
        <f>IF(Summary!E598+Summary!H598&gt;0,Summary!E598+Summary!H598,"")</f>
        <v/>
      </c>
      <c r="D597" s="40" t="str">
        <f>IF(Summary!L598&lt;&gt;"",Summary!L598,"")</f>
        <v/>
      </c>
      <c r="E597" s="40" t="str">
        <f>IF(Summary!M598&lt;&gt;"",Summary!M598,"")</f>
        <v/>
      </c>
      <c r="F597" s="20" t="str">
        <f>IF(Summary!N598&lt;&gt;"",Summary!N598,"")</f>
        <v/>
      </c>
      <c r="G597" s="20" t="str">
        <f>IF(Summary!O598&lt;&gt;"",Summary!O598,"")</f>
        <v/>
      </c>
    </row>
    <row r="598" spans="1:7">
      <c r="A598" s="39" t="str">
        <f>IF(Summary!A599&lt;&gt;"",Summary!A599,"")</f>
        <v/>
      </c>
      <c r="B598" s="21" t="str">
        <f>IF(Summary!J599&lt;&gt;"",Summary!J599,"")</f>
        <v/>
      </c>
      <c r="C598" s="44" t="str">
        <f>IF(Summary!E599+Summary!H599&gt;0,Summary!E599+Summary!H599,"")</f>
        <v/>
      </c>
      <c r="D598" s="40" t="str">
        <f>IF(Summary!L599&lt;&gt;"",Summary!L599,"")</f>
        <v/>
      </c>
      <c r="E598" s="40" t="str">
        <f>IF(Summary!M599&lt;&gt;"",Summary!M599,"")</f>
        <v/>
      </c>
      <c r="F598" s="20" t="str">
        <f>IF(Summary!N599&lt;&gt;"",Summary!N599,"")</f>
        <v/>
      </c>
      <c r="G598" s="20" t="str">
        <f>IF(Summary!O599&lt;&gt;"",Summary!O599,"")</f>
        <v/>
      </c>
    </row>
    <row r="599" spans="1:7">
      <c r="A599" s="39" t="str">
        <f>IF(Summary!A600&lt;&gt;"",Summary!A600,"")</f>
        <v/>
      </c>
      <c r="B599" s="21" t="str">
        <f>IF(Summary!J600&lt;&gt;"",Summary!J600,"")</f>
        <v/>
      </c>
      <c r="C599" s="44" t="str">
        <f>IF(Summary!E600+Summary!H600&gt;0,Summary!E600+Summary!H600,"")</f>
        <v/>
      </c>
      <c r="D599" s="40" t="str">
        <f>IF(Summary!L600&lt;&gt;"",Summary!L600,"")</f>
        <v/>
      </c>
      <c r="E599" s="40" t="str">
        <f>IF(Summary!M600&lt;&gt;"",Summary!M600,"")</f>
        <v/>
      </c>
      <c r="F599" s="20" t="str">
        <f>IF(Summary!N600&lt;&gt;"",Summary!N600,"")</f>
        <v/>
      </c>
      <c r="G599" s="20" t="str">
        <f>IF(Summary!O600&lt;&gt;"",Summary!O600,"")</f>
        <v/>
      </c>
    </row>
    <row r="600" spans="1:7">
      <c r="A600" s="39" t="str">
        <f>IF(Summary!A601&lt;&gt;"",Summary!A601,"")</f>
        <v/>
      </c>
      <c r="B600" s="21" t="str">
        <f>IF(Summary!J601&lt;&gt;"",Summary!J601,"")</f>
        <v/>
      </c>
      <c r="C600" s="44" t="str">
        <f>IF(Summary!E601+Summary!H601&gt;0,Summary!E601+Summary!H601,"")</f>
        <v/>
      </c>
      <c r="D600" s="40" t="str">
        <f>IF(Summary!L601&lt;&gt;"",Summary!L601,"")</f>
        <v/>
      </c>
      <c r="E600" s="40" t="str">
        <f>IF(Summary!M601&lt;&gt;"",Summary!M601,"")</f>
        <v/>
      </c>
      <c r="F600" s="20" t="str">
        <f>IF(Summary!N601&lt;&gt;"",Summary!N601,"")</f>
        <v/>
      </c>
      <c r="G600" s="20" t="str">
        <f>IF(Summary!O601&lt;&gt;"",Summary!O601,"")</f>
        <v/>
      </c>
    </row>
    <row r="601" spans="1:7">
      <c r="A601" s="39" t="str">
        <f>IF(Summary!A602&lt;&gt;"",Summary!A602,"")</f>
        <v/>
      </c>
      <c r="B601" s="21" t="str">
        <f>IF(Summary!J602&lt;&gt;"",Summary!J602,"")</f>
        <v/>
      </c>
      <c r="C601" s="44" t="str">
        <f>IF(Summary!E602+Summary!H602&gt;0,Summary!E602+Summary!H602,"")</f>
        <v/>
      </c>
      <c r="D601" s="40" t="str">
        <f>IF(Summary!L602&lt;&gt;"",Summary!L602,"")</f>
        <v/>
      </c>
      <c r="E601" s="40" t="str">
        <f>IF(Summary!M602&lt;&gt;"",Summary!M602,"")</f>
        <v/>
      </c>
      <c r="F601" s="20" t="str">
        <f>IF(Summary!N602&lt;&gt;"",Summary!N602,"")</f>
        <v/>
      </c>
      <c r="G601" s="20" t="str">
        <f>IF(Summary!O602&lt;&gt;"",Summary!O602,"")</f>
        <v/>
      </c>
    </row>
    <row r="602" spans="1:7">
      <c r="A602" s="39" t="str">
        <f>IF(Summary!A603&lt;&gt;"",Summary!A603,"")</f>
        <v/>
      </c>
      <c r="B602" s="21" t="str">
        <f>IF(Summary!J603&lt;&gt;"",Summary!J603,"")</f>
        <v/>
      </c>
      <c r="C602" s="44" t="str">
        <f>IF(Summary!E603+Summary!H603&gt;0,Summary!E603+Summary!H603,"")</f>
        <v/>
      </c>
      <c r="D602" s="40" t="str">
        <f>IF(Summary!L603&lt;&gt;"",Summary!L603,"")</f>
        <v/>
      </c>
      <c r="E602" s="40" t="str">
        <f>IF(Summary!M603&lt;&gt;"",Summary!M603,"")</f>
        <v/>
      </c>
      <c r="F602" s="20" t="str">
        <f>IF(Summary!N603&lt;&gt;"",Summary!N603,"")</f>
        <v/>
      </c>
      <c r="G602" s="20" t="str">
        <f>IF(Summary!O603&lt;&gt;"",Summary!O603,"")</f>
        <v/>
      </c>
    </row>
    <row r="603" spans="1:7">
      <c r="A603" s="39" t="str">
        <f>IF(Summary!A604&lt;&gt;"",Summary!A604,"")</f>
        <v/>
      </c>
      <c r="B603" s="21" t="str">
        <f>IF(Summary!J604&lt;&gt;"",Summary!J604,"")</f>
        <v/>
      </c>
      <c r="C603" s="44" t="str">
        <f>IF(Summary!E604+Summary!H604&gt;0,Summary!E604+Summary!H604,"")</f>
        <v/>
      </c>
      <c r="D603" s="40" t="str">
        <f>IF(Summary!L604&lt;&gt;"",Summary!L604,"")</f>
        <v/>
      </c>
      <c r="E603" s="40" t="str">
        <f>IF(Summary!M604&lt;&gt;"",Summary!M604,"")</f>
        <v/>
      </c>
      <c r="F603" s="20" t="str">
        <f>IF(Summary!N604&lt;&gt;"",Summary!N604,"")</f>
        <v/>
      </c>
      <c r="G603" s="20" t="str">
        <f>IF(Summary!O604&lt;&gt;"",Summary!O604,"")</f>
        <v/>
      </c>
    </row>
    <row r="604" spans="1:7">
      <c r="A604" s="39" t="str">
        <f>IF(Summary!A605&lt;&gt;"",Summary!A605,"")</f>
        <v/>
      </c>
      <c r="B604" s="21" t="str">
        <f>IF(Summary!J605&lt;&gt;"",Summary!J605,"")</f>
        <v/>
      </c>
      <c r="C604" s="44" t="str">
        <f>IF(Summary!E605+Summary!H605&gt;0,Summary!E605+Summary!H605,"")</f>
        <v/>
      </c>
      <c r="D604" s="40" t="str">
        <f>IF(Summary!L605&lt;&gt;"",Summary!L605,"")</f>
        <v/>
      </c>
      <c r="E604" s="40" t="str">
        <f>IF(Summary!M605&lt;&gt;"",Summary!M605,"")</f>
        <v/>
      </c>
      <c r="F604" s="20" t="str">
        <f>IF(Summary!N605&lt;&gt;"",Summary!N605,"")</f>
        <v/>
      </c>
      <c r="G604" s="20" t="str">
        <f>IF(Summary!O605&lt;&gt;"",Summary!O605,"")</f>
        <v/>
      </c>
    </row>
    <row r="605" spans="1:7">
      <c r="A605" s="39" t="str">
        <f>IF(Summary!A606&lt;&gt;"",Summary!A606,"")</f>
        <v/>
      </c>
      <c r="B605" s="21" t="str">
        <f>IF(Summary!J606&lt;&gt;"",Summary!J606,"")</f>
        <v/>
      </c>
      <c r="C605" s="44" t="str">
        <f>IF(Summary!E606+Summary!H606&gt;0,Summary!E606+Summary!H606,"")</f>
        <v/>
      </c>
      <c r="D605" s="40" t="str">
        <f>IF(Summary!L606&lt;&gt;"",Summary!L606,"")</f>
        <v/>
      </c>
      <c r="E605" s="40" t="str">
        <f>IF(Summary!M606&lt;&gt;"",Summary!M606,"")</f>
        <v/>
      </c>
      <c r="F605" s="20" t="str">
        <f>IF(Summary!N606&lt;&gt;"",Summary!N606,"")</f>
        <v/>
      </c>
      <c r="G605" s="20" t="str">
        <f>IF(Summary!O606&lt;&gt;"",Summary!O606,"")</f>
        <v/>
      </c>
    </row>
    <row r="606" spans="1:7">
      <c r="A606" s="39" t="str">
        <f>IF(Summary!A607&lt;&gt;"",Summary!A607,"")</f>
        <v/>
      </c>
      <c r="B606" s="21" t="str">
        <f>IF(Summary!J607&lt;&gt;"",Summary!J607,"")</f>
        <v/>
      </c>
      <c r="C606" s="44" t="str">
        <f>IF(Summary!E607+Summary!H607&gt;0,Summary!E607+Summary!H607,"")</f>
        <v/>
      </c>
      <c r="D606" s="40" t="str">
        <f>IF(Summary!L607&lt;&gt;"",Summary!L607,"")</f>
        <v/>
      </c>
      <c r="E606" s="40" t="str">
        <f>IF(Summary!M607&lt;&gt;"",Summary!M607,"")</f>
        <v/>
      </c>
      <c r="F606" s="20" t="str">
        <f>IF(Summary!N607&lt;&gt;"",Summary!N607,"")</f>
        <v/>
      </c>
      <c r="G606" s="20" t="str">
        <f>IF(Summary!O607&lt;&gt;"",Summary!O607,"")</f>
        <v/>
      </c>
    </row>
    <row r="607" spans="1:7">
      <c r="A607" s="39" t="str">
        <f>IF(Summary!A608&lt;&gt;"",Summary!A608,"")</f>
        <v/>
      </c>
      <c r="B607" s="21" t="str">
        <f>IF(Summary!J608&lt;&gt;"",Summary!J608,"")</f>
        <v/>
      </c>
      <c r="C607" s="44" t="str">
        <f>IF(Summary!E608+Summary!H608&gt;0,Summary!E608+Summary!H608,"")</f>
        <v/>
      </c>
      <c r="D607" s="40" t="str">
        <f>IF(Summary!L608&lt;&gt;"",Summary!L608,"")</f>
        <v/>
      </c>
      <c r="E607" s="40" t="str">
        <f>IF(Summary!M608&lt;&gt;"",Summary!M608,"")</f>
        <v/>
      </c>
      <c r="F607" s="20" t="str">
        <f>IF(Summary!N608&lt;&gt;"",Summary!N608,"")</f>
        <v/>
      </c>
      <c r="G607" s="20" t="str">
        <f>IF(Summary!O608&lt;&gt;"",Summary!O608,"")</f>
        <v/>
      </c>
    </row>
    <row r="608" spans="1:7">
      <c r="A608" s="39" t="str">
        <f>IF(Summary!A609&lt;&gt;"",Summary!A609,"")</f>
        <v/>
      </c>
      <c r="B608" s="21" t="str">
        <f>IF(Summary!J609&lt;&gt;"",Summary!J609,"")</f>
        <v/>
      </c>
      <c r="C608" s="44" t="str">
        <f>IF(Summary!E609+Summary!H609&gt;0,Summary!E609+Summary!H609,"")</f>
        <v/>
      </c>
      <c r="D608" s="40" t="str">
        <f>IF(Summary!L609&lt;&gt;"",Summary!L609,"")</f>
        <v/>
      </c>
      <c r="E608" s="40" t="str">
        <f>IF(Summary!M609&lt;&gt;"",Summary!M609,"")</f>
        <v/>
      </c>
      <c r="F608" s="20" t="str">
        <f>IF(Summary!N609&lt;&gt;"",Summary!N609,"")</f>
        <v/>
      </c>
      <c r="G608" s="20" t="str">
        <f>IF(Summary!O609&lt;&gt;"",Summary!O609,"")</f>
        <v/>
      </c>
    </row>
    <row r="609" spans="1:7">
      <c r="A609" s="39" t="str">
        <f>IF(Summary!A610&lt;&gt;"",Summary!A610,"")</f>
        <v/>
      </c>
      <c r="B609" s="21" t="str">
        <f>IF(Summary!J610&lt;&gt;"",Summary!J610,"")</f>
        <v/>
      </c>
      <c r="C609" s="44" t="str">
        <f>IF(Summary!E610+Summary!H610&gt;0,Summary!E610+Summary!H610,"")</f>
        <v/>
      </c>
      <c r="D609" s="40" t="str">
        <f>IF(Summary!L610&lt;&gt;"",Summary!L610,"")</f>
        <v/>
      </c>
      <c r="E609" s="40" t="str">
        <f>IF(Summary!M610&lt;&gt;"",Summary!M610,"")</f>
        <v/>
      </c>
      <c r="F609" s="20" t="str">
        <f>IF(Summary!N610&lt;&gt;"",Summary!N610,"")</f>
        <v/>
      </c>
      <c r="G609" s="20" t="str">
        <f>IF(Summary!O610&lt;&gt;"",Summary!O610,"")</f>
        <v/>
      </c>
    </row>
    <row r="610" spans="1:7">
      <c r="A610" s="39" t="str">
        <f>IF(Summary!A611&lt;&gt;"",Summary!A611,"")</f>
        <v/>
      </c>
      <c r="B610" s="21" t="str">
        <f>IF(Summary!J611&lt;&gt;"",Summary!J611,"")</f>
        <v/>
      </c>
      <c r="C610" s="44" t="str">
        <f>IF(Summary!E611+Summary!H611&gt;0,Summary!E611+Summary!H611,"")</f>
        <v/>
      </c>
      <c r="D610" s="40" t="str">
        <f>IF(Summary!L611&lt;&gt;"",Summary!L611,"")</f>
        <v/>
      </c>
      <c r="E610" s="40" t="str">
        <f>IF(Summary!M611&lt;&gt;"",Summary!M611,"")</f>
        <v/>
      </c>
      <c r="F610" s="20" t="str">
        <f>IF(Summary!N611&lt;&gt;"",Summary!N611,"")</f>
        <v/>
      </c>
      <c r="G610" s="20" t="str">
        <f>IF(Summary!O611&lt;&gt;"",Summary!O611,"")</f>
        <v/>
      </c>
    </row>
    <row r="611" spans="1:7">
      <c r="A611" s="39" t="str">
        <f>IF(Summary!A612&lt;&gt;"",Summary!A612,"")</f>
        <v/>
      </c>
      <c r="B611" s="21" t="str">
        <f>IF(Summary!J612&lt;&gt;"",Summary!J612,"")</f>
        <v/>
      </c>
      <c r="C611" s="44" t="str">
        <f>IF(Summary!E612+Summary!H612&gt;0,Summary!E612+Summary!H612,"")</f>
        <v/>
      </c>
      <c r="D611" s="40" t="str">
        <f>IF(Summary!L612&lt;&gt;"",Summary!L612,"")</f>
        <v/>
      </c>
      <c r="E611" s="40" t="str">
        <f>IF(Summary!M612&lt;&gt;"",Summary!M612,"")</f>
        <v/>
      </c>
      <c r="F611" s="20" t="str">
        <f>IF(Summary!N612&lt;&gt;"",Summary!N612,"")</f>
        <v/>
      </c>
      <c r="G611" s="20" t="str">
        <f>IF(Summary!O612&lt;&gt;"",Summary!O612,"")</f>
        <v/>
      </c>
    </row>
    <row r="612" spans="1:7">
      <c r="A612" s="39" t="str">
        <f>IF(Summary!A613&lt;&gt;"",Summary!A613,"")</f>
        <v/>
      </c>
      <c r="B612" s="21" t="str">
        <f>IF(Summary!J613&lt;&gt;"",Summary!J613,"")</f>
        <v/>
      </c>
      <c r="C612" s="44" t="str">
        <f>IF(Summary!E613+Summary!H613&gt;0,Summary!E613+Summary!H613,"")</f>
        <v/>
      </c>
      <c r="D612" s="40" t="str">
        <f>IF(Summary!L613&lt;&gt;"",Summary!L613,"")</f>
        <v/>
      </c>
      <c r="E612" s="40" t="str">
        <f>IF(Summary!M613&lt;&gt;"",Summary!M613,"")</f>
        <v/>
      </c>
      <c r="F612" s="20" t="str">
        <f>IF(Summary!N613&lt;&gt;"",Summary!N613,"")</f>
        <v/>
      </c>
      <c r="G612" s="20" t="str">
        <f>IF(Summary!O613&lt;&gt;"",Summary!O613,"")</f>
        <v/>
      </c>
    </row>
    <row r="613" spans="1:7">
      <c r="A613" s="39" t="str">
        <f>IF(Summary!A614&lt;&gt;"",Summary!A614,"")</f>
        <v/>
      </c>
      <c r="B613" s="21" t="str">
        <f>IF(Summary!J614&lt;&gt;"",Summary!J614,"")</f>
        <v/>
      </c>
      <c r="C613" s="44" t="str">
        <f>IF(Summary!E614+Summary!H614&gt;0,Summary!E614+Summary!H614,"")</f>
        <v/>
      </c>
      <c r="D613" s="40" t="str">
        <f>IF(Summary!L614&lt;&gt;"",Summary!L614,"")</f>
        <v/>
      </c>
      <c r="E613" s="40" t="str">
        <f>IF(Summary!M614&lt;&gt;"",Summary!M614,"")</f>
        <v/>
      </c>
      <c r="F613" s="20" t="str">
        <f>IF(Summary!N614&lt;&gt;"",Summary!N614,"")</f>
        <v/>
      </c>
      <c r="G613" s="20" t="str">
        <f>IF(Summary!O614&lt;&gt;"",Summary!O614,"")</f>
        <v/>
      </c>
    </row>
    <row r="614" spans="1:7">
      <c r="A614" s="39" t="str">
        <f>IF(Summary!A615&lt;&gt;"",Summary!A615,"")</f>
        <v/>
      </c>
      <c r="B614" s="21" t="str">
        <f>IF(Summary!J615&lt;&gt;"",Summary!J615,"")</f>
        <v/>
      </c>
      <c r="C614" s="44" t="str">
        <f>IF(Summary!E615+Summary!H615&gt;0,Summary!E615+Summary!H615,"")</f>
        <v/>
      </c>
      <c r="D614" s="40" t="str">
        <f>IF(Summary!L615&lt;&gt;"",Summary!L615,"")</f>
        <v/>
      </c>
      <c r="E614" s="40" t="str">
        <f>IF(Summary!M615&lt;&gt;"",Summary!M615,"")</f>
        <v/>
      </c>
      <c r="F614" s="20" t="str">
        <f>IF(Summary!N615&lt;&gt;"",Summary!N615,"")</f>
        <v/>
      </c>
      <c r="G614" s="20" t="str">
        <f>IF(Summary!O615&lt;&gt;"",Summary!O615,"")</f>
        <v/>
      </c>
    </row>
    <row r="615" spans="1:7">
      <c r="A615" s="39" t="str">
        <f>IF(Summary!A616&lt;&gt;"",Summary!A616,"")</f>
        <v/>
      </c>
      <c r="B615" s="21" t="str">
        <f>IF(Summary!J616&lt;&gt;"",Summary!J616,"")</f>
        <v/>
      </c>
      <c r="C615" s="44" t="str">
        <f>IF(Summary!E616+Summary!H616&gt;0,Summary!E616+Summary!H616,"")</f>
        <v/>
      </c>
      <c r="D615" s="40" t="str">
        <f>IF(Summary!L616&lt;&gt;"",Summary!L616,"")</f>
        <v/>
      </c>
      <c r="E615" s="40" t="str">
        <f>IF(Summary!M616&lt;&gt;"",Summary!M616,"")</f>
        <v/>
      </c>
      <c r="F615" s="20" t="str">
        <f>IF(Summary!N616&lt;&gt;"",Summary!N616,"")</f>
        <v/>
      </c>
      <c r="G615" s="20" t="str">
        <f>IF(Summary!O616&lt;&gt;"",Summary!O616,"")</f>
        <v/>
      </c>
    </row>
    <row r="616" spans="1:7">
      <c r="A616" s="39" t="str">
        <f>IF(Summary!A617&lt;&gt;"",Summary!A617,"")</f>
        <v/>
      </c>
      <c r="B616" s="21" t="str">
        <f>IF(Summary!J617&lt;&gt;"",Summary!J617,"")</f>
        <v/>
      </c>
      <c r="C616" s="44" t="str">
        <f>IF(Summary!E617+Summary!H617&gt;0,Summary!E617+Summary!H617,"")</f>
        <v/>
      </c>
      <c r="D616" s="40" t="str">
        <f>IF(Summary!L617&lt;&gt;"",Summary!L617,"")</f>
        <v/>
      </c>
      <c r="E616" s="40" t="str">
        <f>IF(Summary!M617&lt;&gt;"",Summary!M617,"")</f>
        <v/>
      </c>
      <c r="F616" s="20" t="str">
        <f>IF(Summary!N617&lt;&gt;"",Summary!N617,"")</f>
        <v/>
      </c>
      <c r="G616" s="20" t="str">
        <f>IF(Summary!O617&lt;&gt;"",Summary!O617,"")</f>
        <v/>
      </c>
    </row>
    <row r="617" spans="1:7">
      <c r="A617" s="39" t="str">
        <f>IF(Summary!A618&lt;&gt;"",Summary!A618,"")</f>
        <v/>
      </c>
      <c r="B617" s="21" t="str">
        <f>IF(Summary!J618&lt;&gt;"",Summary!J618,"")</f>
        <v/>
      </c>
      <c r="C617" s="44" t="str">
        <f>IF(Summary!E618+Summary!H618&gt;0,Summary!E618+Summary!H618,"")</f>
        <v/>
      </c>
      <c r="D617" s="40" t="str">
        <f>IF(Summary!L618&lt;&gt;"",Summary!L618,"")</f>
        <v/>
      </c>
      <c r="E617" s="40" t="str">
        <f>IF(Summary!M618&lt;&gt;"",Summary!M618,"")</f>
        <v/>
      </c>
      <c r="F617" s="20" t="str">
        <f>IF(Summary!N618&lt;&gt;"",Summary!N618,"")</f>
        <v/>
      </c>
      <c r="G617" s="20" t="str">
        <f>IF(Summary!O618&lt;&gt;"",Summary!O618,"")</f>
        <v/>
      </c>
    </row>
    <row r="618" spans="1:7">
      <c r="A618" s="39" t="str">
        <f>IF(Summary!A619&lt;&gt;"",Summary!A619,"")</f>
        <v/>
      </c>
      <c r="B618" s="21" t="str">
        <f>IF(Summary!J619&lt;&gt;"",Summary!J619,"")</f>
        <v/>
      </c>
      <c r="C618" s="44" t="str">
        <f>IF(Summary!E619+Summary!H619&gt;0,Summary!E619+Summary!H619,"")</f>
        <v/>
      </c>
      <c r="D618" s="40" t="str">
        <f>IF(Summary!L619&lt;&gt;"",Summary!L619,"")</f>
        <v/>
      </c>
      <c r="E618" s="40" t="str">
        <f>IF(Summary!M619&lt;&gt;"",Summary!M619,"")</f>
        <v/>
      </c>
      <c r="F618" s="20" t="str">
        <f>IF(Summary!N619&lt;&gt;"",Summary!N619,"")</f>
        <v/>
      </c>
      <c r="G618" s="20" t="str">
        <f>IF(Summary!O619&lt;&gt;"",Summary!O619,"")</f>
        <v/>
      </c>
    </row>
    <row r="619" spans="1:7">
      <c r="A619" s="39" t="str">
        <f>IF(Summary!A620&lt;&gt;"",Summary!A620,"")</f>
        <v/>
      </c>
      <c r="B619" s="21" t="str">
        <f>IF(Summary!J620&lt;&gt;"",Summary!J620,"")</f>
        <v/>
      </c>
      <c r="C619" s="44" t="str">
        <f>IF(Summary!E620+Summary!H620&gt;0,Summary!E620+Summary!H620,"")</f>
        <v/>
      </c>
      <c r="D619" s="40" t="str">
        <f>IF(Summary!L620&lt;&gt;"",Summary!L620,"")</f>
        <v/>
      </c>
      <c r="E619" s="40" t="str">
        <f>IF(Summary!M620&lt;&gt;"",Summary!M620,"")</f>
        <v/>
      </c>
      <c r="F619" s="20" t="str">
        <f>IF(Summary!N620&lt;&gt;"",Summary!N620,"")</f>
        <v/>
      </c>
      <c r="G619" s="20" t="str">
        <f>IF(Summary!O620&lt;&gt;"",Summary!O620,"")</f>
        <v/>
      </c>
    </row>
    <row r="620" spans="1:7">
      <c r="A620" s="39" t="str">
        <f>IF(Summary!A621&lt;&gt;"",Summary!A621,"")</f>
        <v/>
      </c>
      <c r="B620" s="21" t="str">
        <f>IF(Summary!J621&lt;&gt;"",Summary!J621,"")</f>
        <v/>
      </c>
      <c r="C620" s="44" t="str">
        <f>IF(Summary!E621+Summary!H621&gt;0,Summary!E621+Summary!H621,"")</f>
        <v/>
      </c>
      <c r="D620" s="40" t="str">
        <f>IF(Summary!L621&lt;&gt;"",Summary!L621,"")</f>
        <v/>
      </c>
      <c r="E620" s="40" t="str">
        <f>IF(Summary!M621&lt;&gt;"",Summary!M621,"")</f>
        <v/>
      </c>
      <c r="F620" s="20" t="str">
        <f>IF(Summary!N621&lt;&gt;"",Summary!N621,"")</f>
        <v/>
      </c>
      <c r="G620" s="20" t="str">
        <f>IF(Summary!O621&lt;&gt;"",Summary!O621,"")</f>
        <v/>
      </c>
    </row>
    <row r="621" spans="1:7">
      <c r="A621" s="39" t="str">
        <f>IF(Summary!A622&lt;&gt;"",Summary!A622,"")</f>
        <v/>
      </c>
      <c r="B621" s="21" t="str">
        <f>IF(Summary!J622&lt;&gt;"",Summary!J622,"")</f>
        <v/>
      </c>
      <c r="C621" s="44" t="str">
        <f>IF(Summary!E622+Summary!H622&gt;0,Summary!E622+Summary!H622,"")</f>
        <v/>
      </c>
      <c r="D621" s="40" t="str">
        <f>IF(Summary!L622&lt;&gt;"",Summary!L622,"")</f>
        <v/>
      </c>
      <c r="E621" s="40" t="str">
        <f>IF(Summary!M622&lt;&gt;"",Summary!M622,"")</f>
        <v/>
      </c>
      <c r="F621" s="20" t="str">
        <f>IF(Summary!N622&lt;&gt;"",Summary!N622,"")</f>
        <v/>
      </c>
      <c r="G621" s="20" t="str">
        <f>IF(Summary!O622&lt;&gt;"",Summary!O622,"")</f>
        <v/>
      </c>
    </row>
    <row r="622" spans="1:7">
      <c r="A622" s="39" t="str">
        <f>IF(Summary!A623&lt;&gt;"",Summary!A623,"")</f>
        <v/>
      </c>
      <c r="B622" s="21" t="str">
        <f>IF(Summary!J623&lt;&gt;"",Summary!J623,"")</f>
        <v/>
      </c>
      <c r="C622" s="44" t="str">
        <f>IF(Summary!E623+Summary!H623&gt;0,Summary!E623+Summary!H623,"")</f>
        <v/>
      </c>
      <c r="D622" s="40" t="str">
        <f>IF(Summary!L623&lt;&gt;"",Summary!L623,"")</f>
        <v/>
      </c>
      <c r="E622" s="40" t="str">
        <f>IF(Summary!M623&lt;&gt;"",Summary!M623,"")</f>
        <v/>
      </c>
      <c r="F622" s="20" t="str">
        <f>IF(Summary!N623&lt;&gt;"",Summary!N623,"")</f>
        <v/>
      </c>
      <c r="G622" s="20" t="str">
        <f>IF(Summary!O623&lt;&gt;"",Summary!O623,"")</f>
        <v/>
      </c>
    </row>
    <row r="623" spans="1:7">
      <c r="A623" s="39" t="str">
        <f>IF(Summary!A624&lt;&gt;"",Summary!A624,"")</f>
        <v/>
      </c>
      <c r="B623" s="21" t="str">
        <f>IF(Summary!J624&lt;&gt;"",Summary!J624,"")</f>
        <v/>
      </c>
      <c r="C623" s="44" t="str">
        <f>IF(Summary!E624+Summary!H624&gt;0,Summary!E624+Summary!H624,"")</f>
        <v/>
      </c>
      <c r="D623" s="40" t="str">
        <f>IF(Summary!L624&lt;&gt;"",Summary!L624,"")</f>
        <v/>
      </c>
      <c r="E623" s="40" t="str">
        <f>IF(Summary!M624&lt;&gt;"",Summary!M624,"")</f>
        <v/>
      </c>
      <c r="F623" s="20" t="str">
        <f>IF(Summary!N624&lt;&gt;"",Summary!N624,"")</f>
        <v/>
      </c>
      <c r="G623" s="20" t="str">
        <f>IF(Summary!O624&lt;&gt;"",Summary!O624,"")</f>
        <v/>
      </c>
    </row>
    <row r="624" spans="1:7">
      <c r="A624" s="39" t="str">
        <f>IF(Summary!A625&lt;&gt;"",Summary!A625,"")</f>
        <v/>
      </c>
      <c r="B624" s="21" t="str">
        <f>IF(Summary!J625&lt;&gt;"",Summary!J625,"")</f>
        <v/>
      </c>
      <c r="C624" s="44" t="str">
        <f>IF(Summary!E625+Summary!H625&gt;0,Summary!E625+Summary!H625,"")</f>
        <v/>
      </c>
      <c r="D624" s="40" t="str">
        <f>IF(Summary!L625&lt;&gt;"",Summary!L625,"")</f>
        <v/>
      </c>
      <c r="E624" s="40" t="str">
        <f>IF(Summary!M625&lt;&gt;"",Summary!M625,"")</f>
        <v/>
      </c>
      <c r="F624" s="20" t="str">
        <f>IF(Summary!N625&lt;&gt;"",Summary!N625,"")</f>
        <v/>
      </c>
      <c r="G624" s="20" t="str">
        <f>IF(Summary!O625&lt;&gt;"",Summary!O625,"")</f>
        <v/>
      </c>
    </row>
    <row r="625" spans="1:7">
      <c r="A625" s="39" t="str">
        <f>IF(Summary!A626&lt;&gt;"",Summary!A626,"")</f>
        <v/>
      </c>
      <c r="B625" s="21" t="str">
        <f>IF(Summary!J626&lt;&gt;"",Summary!J626,"")</f>
        <v/>
      </c>
      <c r="C625" s="44" t="str">
        <f>IF(Summary!E626+Summary!H626&gt;0,Summary!E626+Summary!H626,"")</f>
        <v/>
      </c>
      <c r="D625" s="40" t="str">
        <f>IF(Summary!L626&lt;&gt;"",Summary!L626,"")</f>
        <v/>
      </c>
      <c r="E625" s="40" t="str">
        <f>IF(Summary!M626&lt;&gt;"",Summary!M626,"")</f>
        <v/>
      </c>
      <c r="F625" s="20" t="str">
        <f>IF(Summary!N626&lt;&gt;"",Summary!N626,"")</f>
        <v/>
      </c>
      <c r="G625" s="20" t="str">
        <f>IF(Summary!O626&lt;&gt;"",Summary!O626,"")</f>
        <v/>
      </c>
    </row>
    <row r="626" spans="1:7">
      <c r="A626" s="39" t="str">
        <f>IF(Summary!A627&lt;&gt;"",Summary!A627,"")</f>
        <v/>
      </c>
      <c r="B626" s="21" t="str">
        <f>IF(Summary!J627&lt;&gt;"",Summary!J627,"")</f>
        <v/>
      </c>
      <c r="C626" s="44" t="str">
        <f>IF(Summary!E627+Summary!H627&gt;0,Summary!E627+Summary!H627,"")</f>
        <v/>
      </c>
      <c r="D626" s="40" t="str">
        <f>IF(Summary!L627&lt;&gt;"",Summary!L627,"")</f>
        <v/>
      </c>
      <c r="E626" s="40" t="str">
        <f>IF(Summary!M627&lt;&gt;"",Summary!M627,"")</f>
        <v/>
      </c>
      <c r="F626" s="20" t="str">
        <f>IF(Summary!N627&lt;&gt;"",Summary!N627,"")</f>
        <v/>
      </c>
      <c r="G626" s="20" t="str">
        <f>IF(Summary!O627&lt;&gt;"",Summary!O627,"")</f>
        <v/>
      </c>
    </row>
    <row r="627" spans="1:7">
      <c r="A627" s="39" t="str">
        <f>IF(Summary!A628&lt;&gt;"",Summary!A628,"")</f>
        <v/>
      </c>
      <c r="B627" s="21" t="str">
        <f>IF(Summary!J628&lt;&gt;"",Summary!J628,"")</f>
        <v/>
      </c>
      <c r="C627" s="44" t="str">
        <f>IF(Summary!E628+Summary!H628&gt;0,Summary!E628+Summary!H628,"")</f>
        <v/>
      </c>
      <c r="D627" s="40" t="str">
        <f>IF(Summary!L628&lt;&gt;"",Summary!L628,"")</f>
        <v/>
      </c>
      <c r="E627" s="40" t="str">
        <f>IF(Summary!M628&lt;&gt;"",Summary!M628,"")</f>
        <v/>
      </c>
      <c r="F627" s="20" t="str">
        <f>IF(Summary!N628&lt;&gt;"",Summary!N628,"")</f>
        <v/>
      </c>
      <c r="G627" s="20" t="str">
        <f>IF(Summary!O628&lt;&gt;"",Summary!O628,"")</f>
        <v/>
      </c>
    </row>
    <row r="628" spans="1:7">
      <c r="A628" s="39" t="str">
        <f>IF(Summary!A629&lt;&gt;"",Summary!A629,"")</f>
        <v/>
      </c>
      <c r="B628" s="21" t="str">
        <f>IF(Summary!J629&lt;&gt;"",Summary!J629,"")</f>
        <v/>
      </c>
      <c r="C628" s="44" t="str">
        <f>IF(Summary!E629+Summary!H629&gt;0,Summary!E629+Summary!H629,"")</f>
        <v/>
      </c>
      <c r="D628" s="40" t="str">
        <f>IF(Summary!L629&lt;&gt;"",Summary!L629,"")</f>
        <v/>
      </c>
      <c r="E628" s="40" t="str">
        <f>IF(Summary!M629&lt;&gt;"",Summary!M629,"")</f>
        <v/>
      </c>
      <c r="F628" s="20" t="str">
        <f>IF(Summary!N629&lt;&gt;"",Summary!N629,"")</f>
        <v/>
      </c>
      <c r="G628" s="20" t="str">
        <f>IF(Summary!O629&lt;&gt;"",Summary!O629,"")</f>
        <v/>
      </c>
    </row>
    <row r="629" spans="1:7">
      <c r="A629" s="39" t="str">
        <f>IF(Summary!A630&lt;&gt;"",Summary!A630,"")</f>
        <v/>
      </c>
      <c r="B629" s="21" t="str">
        <f>IF(Summary!J630&lt;&gt;"",Summary!J630,"")</f>
        <v/>
      </c>
      <c r="C629" s="44" t="str">
        <f>IF(Summary!E630+Summary!H630&gt;0,Summary!E630+Summary!H630,"")</f>
        <v/>
      </c>
      <c r="D629" s="40" t="str">
        <f>IF(Summary!L630&lt;&gt;"",Summary!L630,"")</f>
        <v/>
      </c>
      <c r="E629" s="40" t="str">
        <f>IF(Summary!M630&lt;&gt;"",Summary!M630,"")</f>
        <v/>
      </c>
      <c r="F629" s="20" t="str">
        <f>IF(Summary!N630&lt;&gt;"",Summary!N630,"")</f>
        <v/>
      </c>
      <c r="G629" s="20" t="str">
        <f>IF(Summary!O630&lt;&gt;"",Summary!O630,"")</f>
        <v/>
      </c>
    </row>
    <row r="630" spans="1:7">
      <c r="A630" s="39" t="str">
        <f>IF(Summary!A631&lt;&gt;"",Summary!A631,"")</f>
        <v/>
      </c>
      <c r="B630" s="21" t="str">
        <f>IF(Summary!J631&lt;&gt;"",Summary!J631,"")</f>
        <v/>
      </c>
      <c r="C630" s="44" t="str">
        <f>IF(Summary!E631+Summary!H631&gt;0,Summary!E631+Summary!H631,"")</f>
        <v/>
      </c>
      <c r="D630" s="40" t="str">
        <f>IF(Summary!L631&lt;&gt;"",Summary!L631,"")</f>
        <v/>
      </c>
      <c r="E630" s="40" t="str">
        <f>IF(Summary!M631&lt;&gt;"",Summary!M631,"")</f>
        <v/>
      </c>
      <c r="F630" s="20" t="str">
        <f>IF(Summary!N631&lt;&gt;"",Summary!N631,"")</f>
        <v/>
      </c>
      <c r="G630" s="20" t="str">
        <f>IF(Summary!O631&lt;&gt;"",Summary!O631,"")</f>
        <v/>
      </c>
    </row>
    <row r="631" spans="1:7">
      <c r="A631" s="39" t="str">
        <f>IF(Summary!A632&lt;&gt;"",Summary!A632,"")</f>
        <v/>
      </c>
      <c r="B631" s="21" t="str">
        <f>IF(Summary!J632&lt;&gt;"",Summary!J632,"")</f>
        <v/>
      </c>
      <c r="C631" s="44" t="str">
        <f>IF(Summary!E632+Summary!H632&gt;0,Summary!E632+Summary!H632,"")</f>
        <v/>
      </c>
      <c r="D631" s="40" t="str">
        <f>IF(Summary!L632&lt;&gt;"",Summary!L632,"")</f>
        <v/>
      </c>
      <c r="E631" s="40" t="str">
        <f>IF(Summary!M632&lt;&gt;"",Summary!M632,"")</f>
        <v/>
      </c>
      <c r="F631" s="20" t="str">
        <f>IF(Summary!N632&lt;&gt;"",Summary!N632,"")</f>
        <v/>
      </c>
      <c r="G631" s="20" t="str">
        <f>IF(Summary!O632&lt;&gt;"",Summary!O632,"")</f>
        <v/>
      </c>
    </row>
    <row r="632" spans="1:7">
      <c r="A632" s="39" t="str">
        <f>IF(Summary!A633&lt;&gt;"",Summary!A633,"")</f>
        <v/>
      </c>
      <c r="B632" s="21" t="str">
        <f>IF(Summary!J633&lt;&gt;"",Summary!J633,"")</f>
        <v/>
      </c>
      <c r="C632" s="44" t="str">
        <f>IF(Summary!E633+Summary!H633&gt;0,Summary!E633+Summary!H633,"")</f>
        <v/>
      </c>
      <c r="D632" s="40" t="str">
        <f>IF(Summary!L633&lt;&gt;"",Summary!L633,"")</f>
        <v/>
      </c>
      <c r="E632" s="40" t="str">
        <f>IF(Summary!M633&lt;&gt;"",Summary!M633,"")</f>
        <v/>
      </c>
      <c r="F632" s="20" t="str">
        <f>IF(Summary!N633&lt;&gt;"",Summary!N633,"")</f>
        <v/>
      </c>
      <c r="G632" s="20" t="str">
        <f>IF(Summary!O633&lt;&gt;"",Summary!O633,"")</f>
        <v/>
      </c>
    </row>
    <row r="633" spans="1:7">
      <c r="A633" s="39" t="str">
        <f>IF(Summary!A634&lt;&gt;"",Summary!A634,"")</f>
        <v/>
      </c>
      <c r="B633" s="21" t="str">
        <f>IF(Summary!J634&lt;&gt;"",Summary!J634,"")</f>
        <v/>
      </c>
      <c r="C633" s="44" t="str">
        <f>IF(Summary!E634+Summary!H634&gt;0,Summary!E634+Summary!H634,"")</f>
        <v/>
      </c>
      <c r="D633" s="40" t="str">
        <f>IF(Summary!L634&lt;&gt;"",Summary!L634,"")</f>
        <v/>
      </c>
      <c r="E633" s="40" t="str">
        <f>IF(Summary!M634&lt;&gt;"",Summary!M634,"")</f>
        <v/>
      </c>
      <c r="F633" s="20" t="str">
        <f>IF(Summary!N634&lt;&gt;"",Summary!N634,"")</f>
        <v/>
      </c>
      <c r="G633" s="20" t="str">
        <f>IF(Summary!O634&lt;&gt;"",Summary!O634,"")</f>
        <v/>
      </c>
    </row>
    <row r="634" spans="1:7">
      <c r="A634" s="39" t="str">
        <f>IF(Summary!A635&lt;&gt;"",Summary!A635,"")</f>
        <v/>
      </c>
      <c r="B634" s="21" t="str">
        <f>IF(Summary!J635&lt;&gt;"",Summary!J635,"")</f>
        <v/>
      </c>
      <c r="C634" s="44" t="str">
        <f>IF(Summary!E635+Summary!H635&gt;0,Summary!E635+Summary!H635,"")</f>
        <v/>
      </c>
      <c r="D634" s="40" t="str">
        <f>IF(Summary!L635&lt;&gt;"",Summary!L635,"")</f>
        <v/>
      </c>
      <c r="E634" s="40" t="str">
        <f>IF(Summary!M635&lt;&gt;"",Summary!M635,"")</f>
        <v/>
      </c>
      <c r="F634" s="20" t="str">
        <f>IF(Summary!N635&lt;&gt;"",Summary!N635,"")</f>
        <v/>
      </c>
      <c r="G634" s="20" t="str">
        <f>IF(Summary!O635&lt;&gt;"",Summary!O635,"")</f>
        <v/>
      </c>
    </row>
    <row r="635" spans="1:7">
      <c r="A635" s="39" t="str">
        <f>IF(Summary!A636&lt;&gt;"",Summary!A636,"")</f>
        <v/>
      </c>
      <c r="B635" s="21" t="str">
        <f>IF(Summary!J636&lt;&gt;"",Summary!J636,"")</f>
        <v/>
      </c>
      <c r="C635" s="44" t="str">
        <f>IF(Summary!E636+Summary!H636&gt;0,Summary!E636+Summary!H636,"")</f>
        <v/>
      </c>
      <c r="D635" s="40" t="str">
        <f>IF(Summary!L636&lt;&gt;"",Summary!L636,"")</f>
        <v/>
      </c>
      <c r="E635" s="40" t="str">
        <f>IF(Summary!M636&lt;&gt;"",Summary!M636,"")</f>
        <v/>
      </c>
      <c r="F635" s="20" t="str">
        <f>IF(Summary!N636&lt;&gt;"",Summary!N636,"")</f>
        <v/>
      </c>
      <c r="G635" s="20" t="str">
        <f>IF(Summary!O636&lt;&gt;"",Summary!O636,"")</f>
        <v/>
      </c>
    </row>
    <row r="636" spans="1:7">
      <c r="A636" s="39" t="str">
        <f>IF(Summary!A637&lt;&gt;"",Summary!A637,"")</f>
        <v/>
      </c>
      <c r="B636" s="21" t="str">
        <f>IF(Summary!J637&lt;&gt;"",Summary!J637,"")</f>
        <v/>
      </c>
      <c r="C636" s="44" t="str">
        <f>IF(Summary!E637+Summary!H637&gt;0,Summary!E637+Summary!H637,"")</f>
        <v/>
      </c>
      <c r="D636" s="40" t="str">
        <f>IF(Summary!L637&lt;&gt;"",Summary!L637,"")</f>
        <v/>
      </c>
      <c r="E636" s="40" t="str">
        <f>IF(Summary!M637&lt;&gt;"",Summary!M637,"")</f>
        <v/>
      </c>
      <c r="F636" s="20" t="str">
        <f>IF(Summary!N637&lt;&gt;"",Summary!N637,"")</f>
        <v/>
      </c>
      <c r="G636" s="20" t="str">
        <f>IF(Summary!O637&lt;&gt;"",Summary!O637,"")</f>
        <v/>
      </c>
    </row>
    <row r="637" spans="1:7">
      <c r="A637" s="39" t="str">
        <f>IF(Summary!A638&lt;&gt;"",Summary!A638,"")</f>
        <v/>
      </c>
      <c r="B637" s="21" t="str">
        <f>IF(Summary!J638&lt;&gt;"",Summary!J638,"")</f>
        <v/>
      </c>
      <c r="C637" s="44" t="str">
        <f>IF(Summary!E638+Summary!H638&gt;0,Summary!E638+Summary!H638,"")</f>
        <v/>
      </c>
      <c r="D637" s="40" t="str">
        <f>IF(Summary!L638&lt;&gt;"",Summary!L638,"")</f>
        <v/>
      </c>
      <c r="E637" s="40" t="str">
        <f>IF(Summary!M638&lt;&gt;"",Summary!M638,"")</f>
        <v/>
      </c>
      <c r="F637" s="20" t="str">
        <f>IF(Summary!N638&lt;&gt;"",Summary!N638,"")</f>
        <v/>
      </c>
      <c r="G637" s="20" t="str">
        <f>IF(Summary!O638&lt;&gt;"",Summary!O638,"")</f>
        <v/>
      </c>
    </row>
    <row r="638" spans="1:7">
      <c r="A638" s="39" t="str">
        <f>IF(Summary!A639&lt;&gt;"",Summary!A639,"")</f>
        <v/>
      </c>
      <c r="B638" s="21" t="str">
        <f>IF(Summary!J639&lt;&gt;"",Summary!J639,"")</f>
        <v/>
      </c>
      <c r="C638" s="44" t="str">
        <f>IF(Summary!E639+Summary!H639&gt;0,Summary!E639+Summary!H639,"")</f>
        <v/>
      </c>
      <c r="D638" s="40" t="str">
        <f>IF(Summary!L639&lt;&gt;"",Summary!L639,"")</f>
        <v/>
      </c>
      <c r="E638" s="40" t="str">
        <f>IF(Summary!M639&lt;&gt;"",Summary!M639,"")</f>
        <v/>
      </c>
      <c r="F638" s="20" t="str">
        <f>IF(Summary!N639&lt;&gt;"",Summary!N639,"")</f>
        <v/>
      </c>
      <c r="G638" s="20" t="str">
        <f>IF(Summary!O639&lt;&gt;"",Summary!O639,"")</f>
        <v/>
      </c>
    </row>
    <row r="639" spans="1:7">
      <c r="A639" s="39" t="str">
        <f>IF(Summary!A640&lt;&gt;"",Summary!A640,"")</f>
        <v/>
      </c>
      <c r="B639" s="21" t="str">
        <f>IF(Summary!J640&lt;&gt;"",Summary!J640,"")</f>
        <v/>
      </c>
      <c r="C639" s="44" t="str">
        <f>IF(Summary!E640+Summary!H640&gt;0,Summary!E640+Summary!H640,"")</f>
        <v/>
      </c>
      <c r="D639" s="40" t="str">
        <f>IF(Summary!L640&lt;&gt;"",Summary!L640,"")</f>
        <v/>
      </c>
      <c r="E639" s="40" t="str">
        <f>IF(Summary!M640&lt;&gt;"",Summary!M640,"")</f>
        <v/>
      </c>
      <c r="F639" s="20" t="str">
        <f>IF(Summary!N640&lt;&gt;"",Summary!N640,"")</f>
        <v/>
      </c>
      <c r="G639" s="20" t="str">
        <f>IF(Summary!O640&lt;&gt;"",Summary!O640,"")</f>
        <v/>
      </c>
    </row>
    <row r="640" spans="1:7">
      <c r="A640" s="39" t="str">
        <f>IF(Summary!A641&lt;&gt;"",Summary!A641,"")</f>
        <v/>
      </c>
      <c r="B640" s="21" t="str">
        <f>IF(Summary!J641&lt;&gt;"",Summary!J641,"")</f>
        <v/>
      </c>
      <c r="C640" s="44" t="str">
        <f>IF(Summary!E641+Summary!H641&gt;0,Summary!E641+Summary!H641,"")</f>
        <v/>
      </c>
      <c r="D640" s="40" t="str">
        <f>IF(Summary!L641&lt;&gt;"",Summary!L641,"")</f>
        <v/>
      </c>
      <c r="E640" s="40" t="str">
        <f>IF(Summary!M641&lt;&gt;"",Summary!M641,"")</f>
        <v/>
      </c>
      <c r="F640" s="20" t="str">
        <f>IF(Summary!N641&lt;&gt;"",Summary!N641,"")</f>
        <v/>
      </c>
      <c r="G640" s="20" t="str">
        <f>IF(Summary!O641&lt;&gt;"",Summary!O641,"")</f>
        <v/>
      </c>
    </row>
    <row r="641" spans="1:7">
      <c r="A641" s="39" t="str">
        <f>IF(Summary!A642&lt;&gt;"",Summary!A642,"")</f>
        <v/>
      </c>
      <c r="B641" s="21" t="str">
        <f>IF(Summary!J642&lt;&gt;"",Summary!J642,"")</f>
        <v/>
      </c>
      <c r="C641" s="44" t="str">
        <f>IF(Summary!E642+Summary!H642&gt;0,Summary!E642+Summary!H642,"")</f>
        <v/>
      </c>
      <c r="D641" s="40" t="str">
        <f>IF(Summary!L642&lt;&gt;"",Summary!L642,"")</f>
        <v/>
      </c>
      <c r="E641" s="40" t="str">
        <f>IF(Summary!M642&lt;&gt;"",Summary!M642,"")</f>
        <v/>
      </c>
      <c r="F641" s="20" t="str">
        <f>IF(Summary!N642&lt;&gt;"",Summary!N642,"")</f>
        <v/>
      </c>
      <c r="G641" s="20" t="str">
        <f>IF(Summary!O642&lt;&gt;"",Summary!O642,"")</f>
        <v/>
      </c>
    </row>
    <row r="642" spans="1:7">
      <c r="A642" s="39" t="str">
        <f>IF(Summary!A643&lt;&gt;"",Summary!A643,"")</f>
        <v/>
      </c>
      <c r="B642" s="21" t="str">
        <f>IF(Summary!J643&lt;&gt;"",Summary!J643,"")</f>
        <v/>
      </c>
      <c r="C642" s="44" t="str">
        <f>IF(Summary!E643+Summary!H643&gt;0,Summary!E643+Summary!H643,"")</f>
        <v/>
      </c>
      <c r="D642" s="40" t="str">
        <f>IF(Summary!L643&lt;&gt;"",Summary!L643,"")</f>
        <v/>
      </c>
      <c r="E642" s="40" t="str">
        <f>IF(Summary!M643&lt;&gt;"",Summary!M643,"")</f>
        <v/>
      </c>
      <c r="F642" s="20" t="str">
        <f>IF(Summary!N643&lt;&gt;"",Summary!N643,"")</f>
        <v/>
      </c>
      <c r="G642" s="20" t="str">
        <f>IF(Summary!O643&lt;&gt;"",Summary!O643,"")</f>
        <v/>
      </c>
    </row>
    <row r="643" spans="1:7">
      <c r="A643" s="39" t="str">
        <f>IF(Summary!A644&lt;&gt;"",Summary!A644,"")</f>
        <v/>
      </c>
      <c r="B643" s="21" t="str">
        <f>IF(Summary!J644&lt;&gt;"",Summary!J644,"")</f>
        <v/>
      </c>
      <c r="C643" s="44" t="str">
        <f>IF(Summary!E644+Summary!H644&gt;0,Summary!E644+Summary!H644,"")</f>
        <v/>
      </c>
      <c r="D643" s="40" t="str">
        <f>IF(Summary!L644&lt;&gt;"",Summary!L644,"")</f>
        <v/>
      </c>
      <c r="E643" s="40" t="str">
        <f>IF(Summary!M644&lt;&gt;"",Summary!M644,"")</f>
        <v/>
      </c>
      <c r="F643" s="20" t="str">
        <f>IF(Summary!N644&lt;&gt;"",Summary!N644,"")</f>
        <v/>
      </c>
      <c r="G643" s="20" t="str">
        <f>IF(Summary!O644&lt;&gt;"",Summary!O644,"")</f>
        <v/>
      </c>
    </row>
    <row r="644" spans="1:7">
      <c r="A644" s="39" t="str">
        <f>IF(Summary!A645&lt;&gt;"",Summary!A645,"")</f>
        <v/>
      </c>
      <c r="B644" s="21" t="str">
        <f>IF(Summary!J645&lt;&gt;"",Summary!J645,"")</f>
        <v/>
      </c>
      <c r="C644" s="44" t="str">
        <f>IF(Summary!E645+Summary!H645&gt;0,Summary!E645+Summary!H645,"")</f>
        <v/>
      </c>
      <c r="D644" s="40" t="str">
        <f>IF(Summary!L645&lt;&gt;"",Summary!L645,"")</f>
        <v/>
      </c>
      <c r="E644" s="40" t="str">
        <f>IF(Summary!M645&lt;&gt;"",Summary!M645,"")</f>
        <v/>
      </c>
      <c r="F644" s="20" t="str">
        <f>IF(Summary!N645&lt;&gt;"",Summary!N645,"")</f>
        <v/>
      </c>
      <c r="G644" s="20" t="str">
        <f>IF(Summary!O645&lt;&gt;"",Summary!O645,"")</f>
        <v/>
      </c>
    </row>
    <row r="645" spans="1:7">
      <c r="A645" s="39" t="str">
        <f>IF(Summary!A646&lt;&gt;"",Summary!A646,"")</f>
        <v/>
      </c>
      <c r="B645" s="21" t="str">
        <f>IF(Summary!J646&lt;&gt;"",Summary!J646,"")</f>
        <v/>
      </c>
      <c r="C645" s="44" t="str">
        <f>IF(Summary!E646+Summary!H646&gt;0,Summary!E646+Summary!H646,"")</f>
        <v/>
      </c>
      <c r="D645" s="40" t="str">
        <f>IF(Summary!L646&lt;&gt;"",Summary!L646,"")</f>
        <v/>
      </c>
      <c r="E645" s="40" t="str">
        <f>IF(Summary!M646&lt;&gt;"",Summary!M646,"")</f>
        <v/>
      </c>
      <c r="F645" s="20" t="str">
        <f>IF(Summary!N646&lt;&gt;"",Summary!N646,"")</f>
        <v/>
      </c>
      <c r="G645" s="20" t="str">
        <f>IF(Summary!O646&lt;&gt;"",Summary!O646,"")</f>
        <v/>
      </c>
    </row>
    <row r="646" spans="1:7">
      <c r="A646" s="39" t="str">
        <f>IF(Summary!A647&lt;&gt;"",Summary!A647,"")</f>
        <v/>
      </c>
      <c r="B646" s="21" t="str">
        <f>IF(Summary!J647&lt;&gt;"",Summary!J647,"")</f>
        <v/>
      </c>
      <c r="C646" s="44" t="str">
        <f>IF(Summary!E647+Summary!H647&gt;0,Summary!E647+Summary!H647,"")</f>
        <v/>
      </c>
      <c r="D646" s="40" t="str">
        <f>IF(Summary!L647&lt;&gt;"",Summary!L647,"")</f>
        <v/>
      </c>
      <c r="E646" s="40" t="str">
        <f>IF(Summary!M647&lt;&gt;"",Summary!M647,"")</f>
        <v/>
      </c>
      <c r="F646" s="20" t="str">
        <f>IF(Summary!N647&lt;&gt;"",Summary!N647,"")</f>
        <v/>
      </c>
      <c r="G646" s="20" t="str">
        <f>IF(Summary!O647&lt;&gt;"",Summary!O647,"")</f>
        <v/>
      </c>
    </row>
    <row r="647" spans="1:7">
      <c r="A647" s="39" t="str">
        <f>IF(Summary!A648&lt;&gt;"",Summary!A648,"")</f>
        <v/>
      </c>
      <c r="B647" s="21" t="str">
        <f>IF(Summary!J648&lt;&gt;"",Summary!J648,"")</f>
        <v/>
      </c>
      <c r="C647" s="44" t="str">
        <f>IF(Summary!E648+Summary!H648&gt;0,Summary!E648+Summary!H648,"")</f>
        <v/>
      </c>
      <c r="D647" s="40" t="str">
        <f>IF(Summary!L648&lt;&gt;"",Summary!L648,"")</f>
        <v/>
      </c>
      <c r="E647" s="40" t="str">
        <f>IF(Summary!M648&lt;&gt;"",Summary!M648,"")</f>
        <v/>
      </c>
      <c r="F647" s="20" t="str">
        <f>IF(Summary!N648&lt;&gt;"",Summary!N648,"")</f>
        <v/>
      </c>
      <c r="G647" s="20" t="str">
        <f>IF(Summary!O648&lt;&gt;"",Summary!O648,"")</f>
        <v/>
      </c>
    </row>
    <row r="648" spans="1:7">
      <c r="A648" s="39" t="str">
        <f>IF(Summary!A649&lt;&gt;"",Summary!A649,"")</f>
        <v/>
      </c>
      <c r="B648" s="21" t="str">
        <f>IF(Summary!J649&lt;&gt;"",Summary!J649,"")</f>
        <v/>
      </c>
      <c r="C648" s="44" t="str">
        <f>IF(Summary!E649+Summary!H649&gt;0,Summary!E649+Summary!H649,"")</f>
        <v/>
      </c>
      <c r="D648" s="40" t="str">
        <f>IF(Summary!L649&lt;&gt;"",Summary!L649,"")</f>
        <v/>
      </c>
      <c r="E648" s="40" t="str">
        <f>IF(Summary!M649&lt;&gt;"",Summary!M649,"")</f>
        <v/>
      </c>
      <c r="F648" s="20" t="str">
        <f>IF(Summary!N649&lt;&gt;"",Summary!N649,"")</f>
        <v/>
      </c>
      <c r="G648" s="20" t="str">
        <f>IF(Summary!O649&lt;&gt;"",Summary!O649,"")</f>
        <v/>
      </c>
    </row>
    <row r="649" spans="1:7">
      <c r="A649" s="39" t="str">
        <f>IF(Summary!A650&lt;&gt;"",Summary!A650,"")</f>
        <v/>
      </c>
      <c r="B649" s="21" t="str">
        <f>IF(Summary!J650&lt;&gt;"",Summary!J650,"")</f>
        <v/>
      </c>
      <c r="C649" s="44" t="str">
        <f>IF(Summary!E650+Summary!H650&gt;0,Summary!E650+Summary!H650,"")</f>
        <v/>
      </c>
      <c r="D649" s="40" t="str">
        <f>IF(Summary!L650&lt;&gt;"",Summary!L650,"")</f>
        <v/>
      </c>
      <c r="E649" s="40" t="str">
        <f>IF(Summary!M650&lt;&gt;"",Summary!M650,"")</f>
        <v/>
      </c>
      <c r="F649" s="20" t="str">
        <f>IF(Summary!N650&lt;&gt;"",Summary!N650,"")</f>
        <v/>
      </c>
      <c r="G649" s="20" t="str">
        <f>IF(Summary!O650&lt;&gt;"",Summary!O650,"")</f>
        <v/>
      </c>
    </row>
    <row r="650" spans="1:7">
      <c r="A650" s="39" t="str">
        <f>IF(Summary!A651&lt;&gt;"",Summary!A651,"")</f>
        <v/>
      </c>
      <c r="B650" s="21" t="str">
        <f>IF(Summary!J651&lt;&gt;"",Summary!J651,"")</f>
        <v/>
      </c>
      <c r="C650" s="44" t="str">
        <f>IF(Summary!E651+Summary!H651&gt;0,Summary!E651+Summary!H651,"")</f>
        <v/>
      </c>
      <c r="D650" s="40" t="str">
        <f>IF(Summary!L651&lt;&gt;"",Summary!L651,"")</f>
        <v/>
      </c>
      <c r="E650" s="40" t="str">
        <f>IF(Summary!M651&lt;&gt;"",Summary!M651,"")</f>
        <v/>
      </c>
      <c r="F650" s="20" t="str">
        <f>IF(Summary!N651&lt;&gt;"",Summary!N651,"")</f>
        <v/>
      </c>
      <c r="G650" s="20" t="str">
        <f>IF(Summary!O651&lt;&gt;"",Summary!O651,"")</f>
        <v/>
      </c>
    </row>
    <row r="651" spans="1:7">
      <c r="A651" s="39" t="str">
        <f>IF(Summary!A652&lt;&gt;"",Summary!A652,"")</f>
        <v/>
      </c>
      <c r="B651" s="21" t="str">
        <f>IF(Summary!J652&lt;&gt;"",Summary!J652,"")</f>
        <v/>
      </c>
      <c r="C651" s="44" t="str">
        <f>IF(Summary!E652+Summary!H652&gt;0,Summary!E652+Summary!H652,"")</f>
        <v/>
      </c>
      <c r="D651" s="40" t="str">
        <f>IF(Summary!L652&lt;&gt;"",Summary!L652,"")</f>
        <v/>
      </c>
      <c r="E651" s="40" t="str">
        <f>IF(Summary!M652&lt;&gt;"",Summary!M652,"")</f>
        <v/>
      </c>
      <c r="F651" s="20" t="str">
        <f>IF(Summary!N652&lt;&gt;"",Summary!N652,"")</f>
        <v/>
      </c>
      <c r="G651" s="20" t="str">
        <f>IF(Summary!O652&lt;&gt;"",Summary!O652,"")</f>
        <v/>
      </c>
    </row>
    <row r="652" spans="1:7">
      <c r="A652" s="39" t="str">
        <f>IF(Summary!A653&lt;&gt;"",Summary!A653,"")</f>
        <v/>
      </c>
      <c r="B652" s="21" t="str">
        <f>IF(Summary!J653&lt;&gt;"",Summary!J653,"")</f>
        <v/>
      </c>
      <c r="C652" s="44" t="str">
        <f>IF(Summary!E653+Summary!H653&gt;0,Summary!E653+Summary!H653,"")</f>
        <v/>
      </c>
      <c r="D652" s="40" t="str">
        <f>IF(Summary!L653&lt;&gt;"",Summary!L653,"")</f>
        <v/>
      </c>
      <c r="E652" s="40" t="str">
        <f>IF(Summary!M653&lt;&gt;"",Summary!M653,"")</f>
        <v/>
      </c>
      <c r="F652" s="20" t="str">
        <f>IF(Summary!N653&lt;&gt;"",Summary!N653,"")</f>
        <v/>
      </c>
      <c r="G652" s="20" t="str">
        <f>IF(Summary!O653&lt;&gt;"",Summary!O653,"")</f>
        <v/>
      </c>
    </row>
    <row r="653" spans="1:7">
      <c r="A653" s="39" t="str">
        <f>IF(Summary!A654&lt;&gt;"",Summary!A654,"")</f>
        <v/>
      </c>
      <c r="B653" s="21" t="str">
        <f>IF(Summary!J654&lt;&gt;"",Summary!J654,"")</f>
        <v/>
      </c>
      <c r="C653" s="44" t="str">
        <f>IF(Summary!E654+Summary!H654&gt;0,Summary!E654+Summary!H654,"")</f>
        <v/>
      </c>
      <c r="D653" s="40" t="str">
        <f>IF(Summary!L654&lt;&gt;"",Summary!L654,"")</f>
        <v/>
      </c>
      <c r="E653" s="40" t="str">
        <f>IF(Summary!M654&lt;&gt;"",Summary!M654,"")</f>
        <v/>
      </c>
      <c r="F653" s="20" t="str">
        <f>IF(Summary!N654&lt;&gt;"",Summary!N654,"")</f>
        <v/>
      </c>
      <c r="G653" s="20" t="str">
        <f>IF(Summary!O654&lt;&gt;"",Summary!O654,"")</f>
        <v/>
      </c>
    </row>
    <row r="654" spans="1:7">
      <c r="A654" s="39" t="str">
        <f>IF(Summary!A655&lt;&gt;"",Summary!A655,"")</f>
        <v/>
      </c>
      <c r="B654" s="21" t="str">
        <f>IF(Summary!J655&lt;&gt;"",Summary!J655,"")</f>
        <v/>
      </c>
      <c r="C654" s="44" t="str">
        <f>IF(Summary!E655+Summary!H655&gt;0,Summary!E655+Summary!H655,"")</f>
        <v/>
      </c>
      <c r="D654" s="40" t="str">
        <f>IF(Summary!L655&lt;&gt;"",Summary!L655,"")</f>
        <v/>
      </c>
      <c r="E654" s="40" t="str">
        <f>IF(Summary!M655&lt;&gt;"",Summary!M655,"")</f>
        <v/>
      </c>
      <c r="F654" s="20" t="str">
        <f>IF(Summary!N655&lt;&gt;"",Summary!N655,"")</f>
        <v/>
      </c>
      <c r="G654" s="20" t="str">
        <f>IF(Summary!O655&lt;&gt;"",Summary!O655,"")</f>
        <v/>
      </c>
    </row>
    <row r="655" spans="1:7">
      <c r="A655" s="39" t="str">
        <f>IF(Summary!A656&lt;&gt;"",Summary!A656,"")</f>
        <v/>
      </c>
      <c r="B655" s="21" t="str">
        <f>IF(Summary!J656&lt;&gt;"",Summary!J656,"")</f>
        <v/>
      </c>
      <c r="C655" s="44" t="str">
        <f>IF(Summary!E656+Summary!H656&gt;0,Summary!E656+Summary!H656,"")</f>
        <v/>
      </c>
      <c r="D655" s="40" t="str">
        <f>IF(Summary!L656&lt;&gt;"",Summary!L656,"")</f>
        <v/>
      </c>
      <c r="E655" s="40" t="str">
        <f>IF(Summary!M656&lt;&gt;"",Summary!M656,"")</f>
        <v/>
      </c>
      <c r="F655" s="20" t="str">
        <f>IF(Summary!N656&lt;&gt;"",Summary!N656,"")</f>
        <v/>
      </c>
      <c r="G655" s="20" t="str">
        <f>IF(Summary!O656&lt;&gt;"",Summary!O656,"")</f>
        <v/>
      </c>
    </row>
    <row r="656" spans="1:7">
      <c r="A656" s="39" t="str">
        <f>IF(Summary!A657&lt;&gt;"",Summary!A657,"")</f>
        <v/>
      </c>
      <c r="B656" s="21" t="str">
        <f>IF(Summary!J657&lt;&gt;"",Summary!J657,"")</f>
        <v/>
      </c>
      <c r="C656" s="44" t="str">
        <f>IF(Summary!E657+Summary!H657&gt;0,Summary!E657+Summary!H657,"")</f>
        <v/>
      </c>
      <c r="D656" s="40" t="str">
        <f>IF(Summary!L657&lt;&gt;"",Summary!L657,"")</f>
        <v/>
      </c>
      <c r="E656" s="40" t="str">
        <f>IF(Summary!M657&lt;&gt;"",Summary!M657,"")</f>
        <v/>
      </c>
      <c r="F656" s="20" t="str">
        <f>IF(Summary!N657&lt;&gt;"",Summary!N657,"")</f>
        <v/>
      </c>
      <c r="G656" s="20" t="str">
        <f>IF(Summary!O657&lt;&gt;"",Summary!O657,"")</f>
        <v/>
      </c>
    </row>
    <row r="657" spans="1:7">
      <c r="A657" s="39" t="str">
        <f>IF(Summary!A658&lt;&gt;"",Summary!A658,"")</f>
        <v/>
      </c>
      <c r="B657" s="21" t="str">
        <f>IF(Summary!J658&lt;&gt;"",Summary!J658,"")</f>
        <v/>
      </c>
      <c r="C657" s="44" t="str">
        <f>IF(Summary!E658+Summary!H658&gt;0,Summary!E658+Summary!H658,"")</f>
        <v/>
      </c>
      <c r="D657" s="40" t="str">
        <f>IF(Summary!L658&lt;&gt;"",Summary!L658,"")</f>
        <v/>
      </c>
      <c r="E657" s="40" t="str">
        <f>IF(Summary!M658&lt;&gt;"",Summary!M658,"")</f>
        <v/>
      </c>
      <c r="F657" s="20" t="str">
        <f>IF(Summary!N658&lt;&gt;"",Summary!N658,"")</f>
        <v/>
      </c>
      <c r="G657" s="20" t="str">
        <f>IF(Summary!O658&lt;&gt;"",Summary!O658,"")</f>
        <v/>
      </c>
    </row>
    <row r="658" spans="1:7">
      <c r="A658" s="39" t="str">
        <f>IF(Summary!A659&lt;&gt;"",Summary!A659,"")</f>
        <v/>
      </c>
      <c r="B658" s="21" t="str">
        <f>IF(Summary!J659&lt;&gt;"",Summary!J659,"")</f>
        <v/>
      </c>
      <c r="C658" s="44" t="str">
        <f>IF(Summary!E659+Summary!H659&gt;0,Summary!E659+Summary!H659,"")</f>
        <v/>
      </c>
      <c r="D658" s="40" t="str">
        <f>IF(Summary!L659&lt;&gt;"",Summary!L659,"")</f>
        <v/>
      </c>
      <c r="E658" s="40" t="str">
        <f>IF(Summary!M659&lt;&gt;"",Summary!M659,"")</f>
        <v/>
      </c>
      <c r="F658" s="20" t="str">
        <f>IF(Summary!N659&lt;&gt;"",Summary!N659,"")</f>
        <v/>
      </c>
      <c r="G658" s="20" t="str">
        <f>IF(Summary!O659&lt;&gt;"",Summary!O659,"")</f>
        <v/>
      </c>
    </row>
    <row r="659" spans="1:7">
      <c r="A659" s="39" t="str">
        <f>IF(Summary!A660&lt;&gt;"",Summary!A660,"")</f>
        <v/>
      </c>
      <c r="B659" s="21" t="str">
        <f>IF(Summary!J660&lt;&gt;"",Summary!J660,"")</f>
        <v/>
      </c>
      <c r="C659" s="44" t="str">
        <f>IF(Summary!E660+Summary!H660&gt;0,Summary!E660+Summary!H660,"")</f>
        <v/>
      </c>
      <c r="D659" s="40" t="str">
        <f>IF(Summary!L660&lt;&gt;"",Summary!L660,"")</f>
        <v/>
      </c>
      <c r="E659" s="40" t="str">
        <f>IF(Summary!M660&lt;&gt;"",Summary!M660,"")</f>
        <v/>
      </c>
      <c r="F659" s="20" t="str">
        <f>IF(Summary!N660&lt;&gt;"",Summary!N660,"")</f>
        <v/>
      </c>
      <c r="G659" s="20" t="str">
        <f>IF(Summary!O660&lt;&gt;"",Summary!O660,"")</f>
        <v/>
      </c>
    </row>
    <row r="660" spans="1:7">
      <c r="A660" s="39" t="str">
        <f>IF(Summary!A661&lt;&gt;"",Summary!A661,"")</f>
        <v/>
      </c>
      <c r="B660" s="21" t="str">
        <f>IF(Summary!J661&lt;&gt;"",Summary!J661,"")</f>
        <v/>
      </c>
      <c r="C660" s="44" t="str">
        <f>IF(Summary!E661+Summary!H661&gt;0,Summary!E661+Summary!H661,"")</f>
        <v/>
      </c>
      <c r="D660" s="40" t="str">
        <f>IF(Summary!L661&lt;&gt;"",Summary!L661,"")</f>
        <v/>
      </c>
      <c r="E660" s="40" t="str">
        <f>IF(Summary!M661&lt;&gt;"",Summary!M661,"")</f>
        <v/>
      </c>
      <c r="F660" s="20" t="str">
        <f>IF(Summary!N661&lt;&gt;"",Summary!N661,"")</f>
        <v/>
      </c>
      <c r="G660" s="20" t="str">
        <f>IF(Summary!O661&lt;&gt;"",Summary!O661,"")</f>
        <v/>
      </c>
    </row>
    <row r="661" spans="1:7">
      <c r="A661" s="39" t="str">
        <f>IF(Summary!A662&lt;&gt;"",Summary!A662,"")</f>
        <v/>
      </c>
      <c r="B661" s="21" t="str">
        <f>IF(Summary!J662&lt;&gt;"",Summary!J662,"")</f>
        <v/>
      </c>
      <c r="C661" s="44" t="str">
        <f>IF(Summary!E662+Summary!H662&gt;0,Summary!E662+Summary!H662,"")</f>
        <v/>
      </c>
      <c r="D661" s="40" t="str">
        <f>IF(Summary!L662&lt;&gt;"",Summary!L662,"")</f>
        <v/>
      </c>
      <c r="E661" s="40" t="str">
        <f>IF(Summary!M662&lt;&gt;"",Summary!M662,"")</f>
        <v/>
      </c>
      <c r="F661" s="20" t="str">
        <f>IF(Summary!N662&lt;&gt;"",Summary!N662,"")</f>
        <v/>
      </c>
      <c r="G661" s="20" t="str">
        <f>IF(Summary!O662&lt;&gt;"",Summary!O662,"")</f>
        <v/>
      </c>
    </row>
    <row r="662" spans="1:7">
      <c r="A662" s="39" t="str">
        <f>IF(Summary!A663&lt;&gt;"",Summary!A663,"")</f>
        <v/>
      </c>
      <c r="B662" s="21" t="str">
        <f>IF(Summary!J663&lt;&gt;"",Summary!J663,"")</f>
        <v/>
      </c>
      <c r="C662" s="44" t="str">
        <f>IF(Summary!E663+Summary!H663&gt;0,Summary!E663+Summary!H663,"")</f>
        <v/>
      </c>
      <c r="D662" s="40" t="str">
        <f>IF(Summary!L663&lt;&gt;"",Summary!L663,"")</f>
        <v/>
      </c>
      <c r="E662" s="40" t="str">
        <f>IF(Summary!M663&lt;&gt;"",Summary!M663,"")</f>
        <v/>
      </c>
      <c r="F662" s="20" t="str">
        <f>IF(Summary!N663&lt;&gt;"",Summary!N663,"")</f>
        <v/>
      </c>
      <c r="G662" s="20" t="str">
        <f>IF(Summary!O663&lt;&gt;"",Summary!O663,"")</f>
        <v/>
      </c>
    </row>
    <row r="663" spans="1:7">
      <c r="A663" s="39" t="str">
        <f>IF(Summary!A664&lt;&gt;"",Summary!A664,"")</f>
        <v/>
      </c>
      <c r="B663" s="21" t="str">
        <f>IF(Summary!J664&lt;&gt;"",Summary!J664,"")</f>
        <v/>
      </c>
      <c r="C663" s="44" t="str">
        <f>IF(Summary!E664+Summary!H664&gt;0,Summary!E664+Summary!H664,"")</f>
        <v/>
      </c>
      <c r="D663" s="40" t="str">
        <f>IF(Summary!L664&lt;&gt;"",Summary!L664,"")</f>
        <v/>
      </c>
      <c r="E663" s="40" t="str">
        <f>IF(Summary!M664&lt;&gt;"",Summary!M664,"")</f>
        <v/>
      </c>
      <c r="F663" s="20" t="str">
        <f>IF(Summary!N664&lt;&gt;"",Summary!N664,"")</f>
        <v/>
      </c>
      <c r="G663" s="20" t="str">
        <f>IF(Summary!O664&lt;&gt;"",Summary!O664,"")</f>
        <v/>
      </c>
    </row>
    <row r="664" spans="1:7">
      <c r="A664" s="39" t="str">
        <f>IF(Summary!A665&lt;&gt;"",Summary!A665,"")</f>
        <v/>
      </c>
      <c r="B664" s="21" t="str">
        <f>IF(Summary!J665&lt;&gt;"",Summary!J665,"")</f>
        <v/>
      </c>
      <c r="C664" s="44" t="str">
        <f>IF(Summary!E665+Summary!H665&gt;0,Summary!E665+Summary!H665,"")</f>
        <v/>
      </c>
      <c r="D664" s="40" t="str">
        <f>IF(Summary!L665&lt;&gt;"",Summary!L665,"")</f>
        <v/>
      </c>
      <c r="E664" s="40" t="str">
        <f>IF(Summary!M665&lt;&gt;"",Summary!M665,"")</f>
        <v/>
      </c>
      <c r="F664" s="20" t="str">
        <f>IF(Summary!N665&lt;&gt;"",Summary!N665,"")</f>
        <v/>
      </c>
      <c r="G664" s="20" t="str">
        <f>IF(Summary!O665&lt;&gt;"",Summary!O665,"")</f>
        <v/>
      </c>
    </row>
    <row r="665" spans="1:7">
      <c r="A665" s="39" t="str">
        <f>IF(Summary!A666&lt;&gt;"",Summary!A666,"")</f>
        <v/>
      </c>
      <c r="B665" s="21" t="str">
        <f>IF(Summary!J666&lt;&gt;"",Summary!J666,"")</f>
        <v/>
      </c>
      <c r="C665" s="44" t="str">
        <f>IF(Summary!E666+Summary!H666&gt;0,Summary!E666+Summary!H666,"")</f>
        <v/>
      </c>
      <c r="D665" s="40" t="str">
        <f>IF(Summary!L666&lt;&gt;"",Summary!L666,"")</f>
        <v/>
      </c>
      <c r="E665" s="40" t="str">
        <f>IF(Summary!M666&lt;&gt;"",Summary!M666,"")</f>
        <v/>
      </c>
      <c r="F665" s="20" t="str">
        <f>IF(Summary!N666&lt;&gt;"",Summary!N666,"")</f>
        <v/>
      </c>
      <c r="G665" s="20" t="str">
        <f>IF(Summary!O666&lt;&gt;"",Summary!O666,"")</f>
        <v/>
      </c>
    </row>
    <row r="666" spans="1:7">
      <c r="A666" s="39" t="str">
        <f>IF(Summary!A667&lt;&gt;"",Summary!A667,"")</f>
        <v/>
      </c>
      <c r="B666" s="21" t="str">
        <f>IF(Summary!J667&lt;&gt;"",Summary!J667,"")</f>
        <v/>
      </c>
      <c r="C666" s="44" t="str">
        <f>IF(Summary!E667+Summary!H667&gt;0,Summary!E667+Summary!H667,"")</f>
        <v/>
      </c>
      <c r="D666" s="40" t="str">
        <f>IF(Summary!L667&lt;&gt;"",Summary!L667,"")</f>
        <v/>
      </c>
      <c r="E666" s="40" t="str">
        <f>IF(Summary!M667&lt;&gt;"",Summary!M667,"")</f>
        <v/>
      </c>
      <c r="F666" s="20" t="str">
        <f>IF(Summary!N667&lt;&gt;"",Summary!N667,"")</f>
        <v/>
      </c>
      <c r="G666" s="20" t="str">
        <f>IF(Summary!O667&lt;&gt;"",Summary!O667,"")</f>
        <v/>
      </c>
    </row>
    <row r="667" spans="1:7">
      <c r="A667" s="39" t="str">
        <f>IF(Summary!A668&lt;&gt;"",Summary!A668,"")</f>
        <v/>
      </c>
      <c r="B667" s="21" t="str">
        <f>IF(Summary!J668&lt;&gt;"",Summary!J668,"")</f>
        <v/>
      </c>
      <c r="C667" s="44" t="str">
        <f>IF(Summary!E668+Summary!H668&gt;0,Summary!E668+Summary!H668,"")</f>
        <v/>
      </c>
      <c r="D667" s="40" t="str">
        <f>IF(Summary!L668&lt;&gt;"",Summary!L668,"")</f>
        <v/>
      </c>
      <c r="E667" s="40" t="str">
        <f>IF(Summary!M668&lt;&gt;"",Summary!M668,"")</f>
        <v/>
      </c>
      <c r="F667" s="20" t="str">
        <f>IF(Summary!N668&lt;&gt;"",Summary!N668,"")</f>
        <v/>
      </c>
      <c r="G667" s="20" t="str">
        <f>IF(Summary!O668&lt;&gt;"",Summary!O668,"")</f>
        <v/>
      </c>
    </row>
    <row r="668" spans="1:7">
      <c r="A668" s="39" t="str">
        <f>IF(Summary!A669&lt;&gt;"",Summary!A669,"")</f>
        <v/>
      </c>
      <c r="B668" s="21" t="str">
        <f>IF(Summary!J669&lt;&gt;"",Summary!J669,"")</f>
        <v/>
      </c>
      <c r="C668" s="44" t="str">
        <f>IF(Summary!E669+Summary!H669&gt;0,Summary!E669+Summary!H669,"")</f>
        <v/>
      </c>
      <c r="D668" s="40" t="str">
        <f>IF(Summary!L669&lt;&gt;"",Summary!L669,"")</f>
        <v/>
      </c>
      <c r="E668" s="40" t="str">
        <f>IF(Summary!M669&lt;&gt;"",Summary!M669,"")</f>
        <v/>
      </c>
      <c r="F668" s="20" t="str">
        <f>IF(Summary!N669&lt;&gt;"",Summary!N669,"")</f>
        <v/>
      </c>
      <c r="G668" s="20" t="str">
        <f>IF(Summary!O669&lt;&gt;"",Summary!O669,"")</f>
        <v/>
      </c>
    </row>
    <row r="669" spans="1:7">
      <c r="A669" s="39" t="str">
        <f>IF(Summary!A670&lt;&gt;"",Summary!A670,"")</f>
        <v/>
      </c>
      <c r="B669" s="21" t="str">
        <f>IF(Summary!J670&lt;&gt;"",Summary!J670,"")</f>
        <v/>
      </c>
      <c r="C669" s="44" t="str">
        <f>IF(Summary!E670+Summary!H670&gt;0,Summary!E670+Summary!H670,"")</f>
        <v/>
      </c>
      <c r="D669" s="40" t="str">
        <f>IF(Summary!L670&lt;&gt;"",Summary!L670,"")</f>
        <v/>
      </c>
      <c r="E669" s="40" t="str">
        <f>IF(Summary!M670&lt;&gt;"",Summary!M670,"")</f>
        <v/>
      </c>
      <c r="F669" s="20" t="str">
        <f>IF(Summary!N670&lt;&gt;"",Summary!N670,"")</f>
        <v/>
      </c>
      <c r="G669" s="20" t="str">
        <f>IF(Summary!O670&lt;&gt;"",Summary!O670,"")</f>
        <v/>
      </c>
    </row>
    <row r="670" spans="1:7">
      <c r="A670" s="39" t="str">
        <f>IF(Summary!A671&lt;&gt;"",Summary!A671,"")</f>
        <v/>
      </c>
      <c r="B670" s="21" t="str">
        <f>IF(Summary!J671&lt;&gt;"",Summary!J671,"")</f>
        <v/>
      </c>
      <c r="C670" s="44" t="str">
        <f>IF(Summary!E671+Summary!H671&gt;0,Summary!E671+Summary!H671,"")</f>
        <v/>
      </c>
      <c r="D670" s="40" t="str">
        <f>IF(Summary!L671&lt;&gt;"",Summary!L671,"")</f>
        <v/>
      </c>
      <c r="E670" s="40" t="str">
        <f>IF(Summary!M671&lt;&gt;"",Summary!M671,"")</f>
        <v/>
      </c>
      <c r="F670" s="20" t="str">
        <f>IF(Summary!N671&lt;&gt;"",Summary!N671,"")</f>
        <v/>
      </c>
      <c r="G670" s="20" t="str">
        <f>IF(Summary!O671&lt;&gt;"",Summary!O671,"")</f>
        <v/>
      </c>
    </row>
    <row r="671" spans="1:7">
      <c r="A671" s="39" t="str">
        <f>IF(Summary!A672&lt;&gt;"",Summary!A672,"")</f>
        <v/>
      </c>
      <c r="B671" s="21" t="str">
        <f>IF(Summary!J672&lt;&gt;"",Summary!J672,"")</f>
        <v/>
      </c>
      <c r="C671" s="44" t="str">
        <f>IF(Summary!E672+Summary!H672&gt;0,Summary!E672+Summary!H672,"")</f>
        <v/>
      </c>
      <c r="D671" s="40" t="str">
        <f>IF(Summary!L672&lt;&gt;"",Summary!L672,"")</f>
        <v/>
      </c>
      <c r="E671" s="40" t="str">
        <f>IF(Summary!M672&lt;&gt;"",Summary!M672,"")</f>
        <v/>
      </c>
      <c r="F671" s="20" t="str">
        <f>IF(Summary!N672&lt;&gt;"",Summary!N672,"")</f>
        <v/>
      </c>
      <c r="G671" s="20" t="str">
        <f>IF(Summary!O672&lt;&gt;"",Summary!O672,"")</f>
        <v/>
      </c>
    </row>
    <row r="672" spans="1:7">
      <c r="A672" s="39" t="str">
        <f>IF(Summary!A673&lt;&gt;"",Summary!A673,"")</f>
        <v/>
      </c>
      <c r="B672" s="21" t="str">
        <f>IF(Summary!J673&lt;&gt;"",Summary!J673,"")</f>
        <v/>
      </c>
      <c r="C672" s="44" t="str">
        <f>IF(Summary!E673+Summary!H673&gt;0,Summary!E673+Summary!H673,"")</f>
        <v/>
      </c>
      <c r="D672" s="40" t="str">
        <f>IF(Summary!L673&lt;&gt;"",Summary!L673,"")</f>
        <v/>
      </c>
      <c r="E672" s="40" t="str">
        <f>IF(Summary!M673&lt;&gt;"",Summary!M673,"")</f>
        <v/>
      </c>
      <c r="F672" s="20" t="str">
        <f>IF(Summary!N673&lt;&gt;"",Summary!N673,"")</f>
        <v/>
      </c>
      <c r="G672" s="20" t="str">
        <f>IF(Summary!O673&lt;&gt;"",Summary!O673,"")</f>
        <v/>
      </c>
    </row>
    <row r="673" spans="1:7">
      <c r="A673" s="39" t="str">
        <f>IF(Summary!A674&lt;&gt;"",Summary!A674,"")</f>
        <v/>
      </c>
      <c r="B673" s="21" t="str">
        <f>IF(Summary!J674&lt;&gt;"",Summary!J674,"")</f>
        <v/>
      </c>
      <c r="C673" s="44" t="str">
        <f>IF(Summary!E674+Summary!H674&gt;0,Summary!E674+Summary!H674,"")</f>
        <v/>
      </c>
      <c r="D673" s="40" t="str">
        <f>IF(Summary!L674&lt;&gt;"",Summary!L674,"")</f>
        <v/>
      </c>
      <c r="E673" s="40" t="str">
        <f>IF(Summary!M674&lt;&gt;"",Summary!M674,"")</f>
        <v/>
      </c>
      <c r="F673" s="20" t="str">
        <f>IF(Summary!N674&lt;&gt;"",Summary!N674,"")</f>
        <v/>
      </c>
      <c r="G673" s="20" t="str">
        <f>IF(Summary!O674&lt;&gt;"",Summary!O674,"")</f>
        <v/>
      </c>
    </row>
    <row r="674" spans="1:7">
      <c r="A674" s="39" t="str">
        <f>IF(Summary!A675&lt;&gt;"",Summary!A675,"")</f>
        <v/>
      </c>
      <c r="B674" s="21" t="str">
        <f>IF(Summary!J675&lt;&gt;"",Summary!J675,"")</f>
        <v/>
      </c>
      <c r="C674" s="44" t="str">
        <f>IF(Summary!E675+Summary!H675&gt;0,Summary!E675+Summary!H675,"")</f>
        <v/>
      </c>
      <c r="D674" s="40" t="str">
        <f>IF(Summary!L675&lt;&gt;"",Summary!L675,"")</f>
        <v/>
      </c>
      <c r="E674" s="40" t="str">
        <f>IF(Summary!M675&lt;&gt;"",Summary!M675,"")</f>
        <v/>
      </c>
      <c r="F674" s="20" t="str">
        <f>IF(Summary!N675&lt;&gt;"",Summary!N675,"")</f>
        <v/>
      </c>
      <c r="G674" s="20" t="str">
        <f>IF(Summary!O675&lt;&gt;"",Summary!O675,"")</f>
        <v/>
      </c>
    </row>
    <row r="675" spans="1:7">
      <c r="A675" s="39" t="str">
        <f>IF(Summary!A676&lt;&gt;"",Summary!A676,"")</f>
        <v/>
      </c>
      <c r="B675" s="21" t="str">
        <f>IF(Summary!J676&lt;&gt;"",Summary!J676,"")</f>
        <v/>
      </c>
      <c r="C675" s="44" t="str">
        <f>IF(Summary!E676+Summary!H676&gt;0,Summary!E676+Summary!H676,"")</f>
        <v/>
      </c>
      <c r="D675" s="40" t="str">
        <f>IF(Summary!L676&lt;&gt;"",Summary!L676,"")</f>
        <v/>
      </c>
      <c r="E675" s="40" t="str">
        <f>IF(Summary!M676&lt;&gt;"",Summary!M676,"")</f>
        <v/>
      </c>
      <c r="F675" s="20" t="str">
        <f>IF(Summary!N676&lt;&gt;"",Summary!N676,"")</f>
        <v/>
      </c>
      <c r="G675" s="20" t="str">
        <f>IF(Summary!O676&lt;&gt;"",Summary!O676,"")</f>
        <v/>
      </c>
    </row>
    <row r="676" spans="1:7">
      <c r="A676" s="39" t="str">
        <f>IF(Summary!A677&lt;&gt;"",Summary!A677,"")</f>
        <v/>
      </c>
      <c r="B676" s="21" t="str">
        <f>IF(Summary!J677&lt;&gt;"",Summary!J677,"")</f>
        <v/>
      </c>
      <c r="C676" s="44" t="str">
        <f>IF(Summary!E677+Summary!H677&gt;0,Summary!E677+Summary!H677,"")</f>
        <v/>
      </c>
      <c r="D676" s="40" t="str">
        <f>IF(Summary!L677&lt;&gt;"",Summary!L677,"")</f>
        <v/>
      </c>
      <c r="E676" s="40" t="str">
        <f>IF(Summary!M677&lt;&gt;"",Summary!M677,"")</f>
        <v/>
      </c>
      <c r="F676" s="20" t="str">
        <f>IF(Summary!N677&lt;&gt;"",Summary!N677,"")</f>
        <v/>
      </c>
      <c r="G676" s="20" t="str">
        <f>IF(Summary!O677&lt;&gt;"",Summary!O677,"")</f>
        <v/>
      </c>
    </row>
    <row r="677" spans="1:7">
      <c r="A677" s="39" t="str">
        <f>IF(Summary!A678&lt;&gt;"",Summary!A678,"")</f>
        <v/>
      </c>
      <c r="B677" s="21" t="str">
        <f>IF(Summary!J678&lt;&gt;"",Summary!J678,"")</f>
        <v/>
      </c>
      <c r="C677" s="44" t="str">
        <f>IF(Summary!E678+Summary!H678&gt;0,Summary!E678+Summary!H678,"")</f>
        <v/>
      </c>
      <c r="D677" s="40" t="str">
        <f>IF(Summary!L678&lt;&gt;"",Summary!L678,"")</f>
        <v/>
      </c>
      <c r="E677" s="40" t="str">
        <f>IF(Summary!M678&lt;&gt;"",Summary!M678,"")</f>
        <v/>
      </c>
      <c r="F677" s="20" t="str">
        <f>IF(Summary!N678&lt;&gt;"",Summary!N678,"")</f>
        <v/>
      </c>
      <c r="G677" s="20" t="str">
        <f>IF(Summary!O678&lt;&gt;"",Summary!O678,"")</f>
        <v/>
      </c>
    </row>
    <row r="678" spans="1:7">
      <c r="A678" s="39" t="str">
        <f>IF(Summary!A679&lt;&gt;"",Summary!A679,"")</f>
        <v/>
      </c>
      <c r="B678" s="21" t="str">
        <f>IF(Summary!J679&lt;&gt;"",Summary!J679,"")</f>
        <v/>
      </c>
      <c r="C678" s="44" t="str">
        <f>IF(Summary!E679+Summary!H679&gt;0,Summary!E679+Summary!H679,"")</f>
        <v/>
      </c>
      <c r="D678" s="40" t="str">
        <f>IF(Summary!L679&lt;&gt;"",Summary!L679,"")</f>
        <v/>
      </c>
      <c r="E678" s="40" t="str">
        <f>IF(Summary!M679&lt;&gt;"",Summary!M679,"")</f>
        <v/>
      </c>
      <c r="F678" s="20" t="str">
        <f>IF(Summary!N679&lt;&gt;"",Summary!N679,"")</f>
        <v/>
      </c>
      <c r="G678" s="20" t="str">
        <f>IF(Summary!O679&lt;&gt;"",Summary!O679,"")</f>
        <v/>
      </c>
    </row>
    <row r="679" spans="1:7">
      <c r="A679" s="39" t="str">
        <f>IF(Summary!A680&lt;&gt;"",Summary!A680,"")</f>
        <v/>
      </c>
      <c r="B679" s="21" t="str">
        <f>IF(Summary!J680&lt;&gt;"",Summary!J680,"")</f>
        <v/>
      </c>
      <c r="C679" s="44" t="str">
        <f>IF(Summary!E680+Summary!H680&gt;0,Summary!E680+Summary!H680,"")</f>
        <v/>
      </c>
      <c r="D679" s="40" t="str">
        <f>IF(Summary!L680&lt;&gt;"",Summary!L680,"")</f>
        <v/>
      </c>
      <c r="E679" s="40" t="str">
        <f>IF(Summary!M680&lt;&gt;"",Summary!M680,"")</f>
        <v/>
      </c>
      <c r="F679" s="20" t="str">
        <f>IF(Summary!N680&lt;&gt;"",Summary!N680,"")</f>
        <v/>
      </c>
      <c r="G679" s="20" t="str">
        <f>IF(Summary!O680&lt;&gt;"",Summary!O680,"")</f>
        <v/>
      </c>
    </row>
    <row r="680" spans="1:7">
      <c r="A680" s="39" t="str">
        <f>IF(Summary!A681&lt;&gt;"",Summary!A681,"")</f>
        <v/>
      </c>
      <c r="B680" s="21" t="str">
        <f>IF(Summary!J681&lt;&gt;"",Summary!J681,"")</f>
        <v/>
      </c>
      <c r="C680" s="44" t="str">
        <f>IF(Summary!E681+Summary!H681&gt;0,Summary!E681+Summary!H681,"")</f>
        <v/>
      </c>
      <c r="D680" s="40" t="str">
        <f>IF(Summary!L681&lt;&gt;"",Summary!L681,"")</f>
        <v/>
      </c>
      <c r="E680" s="40" t="str">
        <f>IF(Summary!M681&lt;&gt;"",Summary!M681,"")</f>
        <v/>
      </c>
      <c r="F680" s="20" t="str">
        <f>IF(Summary!N681&lt;&gt;"",Summary!N681,"")</f>
        <v/>
      </c>
      <c r="G680" s="20" t="str">
        <f>IF(Summary!O681&lt;&gt;"",Summary!O681,"")</f>
        <v/>
      </c>
    </row>
    <row r="681" spans="1:7">
      <c r="A681" s="39" t="str">
        <f>IF(Summary!A682&lt;&gt;"",Summary!A682,"")</f>
        <v/>
      </c>
      <c r="B681" s="21" t="str">
        <f>IF(Summary!J682&lt;&gt;"",Summary!J682,"")</f>
        <v/>
      </c>
      <c r="C681" s="44" t="str">
        <f>IF(Summary!E682+Summary!H682&gt;0,Summary!E682+Summary!H682,"")</f>
        <v/>
      </c>
      <c r="D681" s="40" t="str">
        <f>IF(Summary!L682&lt;&gt;"",Summary!L682,"")</f>
        <v/>
      </c>
      <c r="E681" s="40" t="str">
        <f>IF(Summary!M682&lt;&gt;"",Summary!M682,"")</f>
        <v/>
      </c>
      <c r="F681" s="20" t="str">
        <f>IF(Summary!N682&lt;&gt;"",Summary!N682,"")</f>
        <v/>
      </c>
      <c r="G681" s="20" t="str">
        <f>IF(Summary!O682&lt;&gt;"",Summary!O682,"")</f>
        <v/>
      </c>
    </row>
    <row r="682" spans="1:7">
      <c r="A682" s="39" t="str">
        <f>IF(Summary!A683&lt;&gt;"",Summary!A683,"")</f>
        <v/>
      </c>
      <c r="B682" s="21" t="str">
        <f>IF(Summary!J683&lt;&gt;"",Summary!J683,"")</f>
        <v/>
      </c>
      <c r="C682" s="44" t="str">
        <f>IF(Summary!E683+Summary!H683&gt;0,Summary!E683+Summary!H683,"")</f>
        <v/>
      </c>
      <c r="D682" s="40" t="str">
        <f>IF(Summary!L683&lt;&gt;"",Summary!L683,"")</f>
        <v/>
      </c>
      <c r="E682" s="40" t="str">
        <f>IF(Summary!M683&lt;&gt;"",Summary!M683,"")</f>
        <v/>
      </c>
      <c r="F682" s="20" t="str">
        <f>IF(Summary!N683&lt;&gt;"",Summary!N683,"")</f>
        <v/>
      </c>
      <c r="G682" s="20" t="str">
        <f>IF(Summary!O683&lt;&gt;"",Summary!O683,"")</f>
        <v/>
      </c>
    </row>
    <row r="683" spans="1:7">
      <c r="A683" s="39" t="str">
        <f>IF(Summary!A684&lt;&gt;"",Summary!A684,"")</f>
        <v/>
      </c>
      <c r="B683" s="21" t="str">
        <f>IF(Summary!J684&lt;&gt;"",Summary!J684,"")</f>
        <v/>
      </c>
      <c r="C683" s="44" t="str">
        <f>IF(Summary!E684+Summary!H684&gt;0,Summary!E684+Summary!H684,"")</f>
        <v/>
      </c>
      <c r="D683" s="40" t="str">
        <f>IF(Summary!L684&lt;&gt;"",Summary!L684,"")</f>
        <v/>
      </c>
      <c r="E683" s="40" t="str">
        <f>IF(Summary!M684&lt;&gt;"",Summary!M684,"")</f>
        <v/>
      </c>
      <c r="F683" s="20" t="str">
        <f>IF(Summary!N684&lt;&gt;"",Summary!N684,"")</f>
        <v/>
      </c>
      <c r="G683" s="20" t="str">
        <f>IF(Summary!O684&lt;&gt;"",Summary!O684,"")</f>
        <v/>
      </c>
    </row>
    <row r="684" spans="1:7">
      <c r="A684" s="39" t="str">
        <f>IF(Summary!A685&lt;&gt;"",Summary!A685,"")</f>
        <v/>
      </c>
      <c r="B684" s="21" t="str">
        <f>IF(Summary!J685&lt;&gt;"",Summary!J685,"")</f>
        <v/>
      </c>
      <c r="C684" s="44" t="str">
        <f>IF(Summary!E685+Summary!H685&gt;0,Summary!E685+Summary!H685,"")</f>
        <v/>
      </c>
      <c r="D684" s="40" t="str">
        <f>IF(Summary!L685&lt;&gt;"",Summary!L685,"")</f>
        <v/>
      </c>
      <c r="E684" s="40" t="str">
        <f>IF(Summary!M685&lt;&gt;"",Summary!M685,"")</f>
        <v/>
      </c>
      <c r="F684" s="20" t="str">
        <f>IF(Summary!N685&lt;&gt;"",Summary!N685,"")</f>
        <v/>
      </c>
      <c r="G684" s="20" t="str">
        <f>IF(Summary!O685&lt;&gt;"",Summary!O685,"")</f>
        <v/>
      </c>
    </row>
    <row r="685" spans="1:7">
      <c r="A685" s="39" t="str">
        <f>IF(Summary!A686&lt;&gt;"",Summary!A686,"")</f>
        <v/>
      </c>
      <c r="B685" s="21" t="str">
        <f>IF(Summary!J686&lt;&gt;"",Summary!J686,"")</f>
        <v/>
      </c>
      <c r="C685" s="44" t="str">
        <f>IF(Summary!E686+Summary!H686&gt;0,Summary!E686+Summary!H686,"")</f>
        <v/>
      </c>
      <c r="D685" s="40" t="str">
        <f>IF(Summary!L686&lt;&gt;"",Summary!L686,"")</f>
        <v/>
      </c>
      <c r="E685" s="40" t="str">
        <f>IF(Summary!M686&lt;&gt;"",Summary!M686,"")</f>
        <v/>
      </c>
      <c r="F685" s="20" t="str">
        <f>IF(Summary!N686&lt;&gt;"",Summary!N686,"")</f>
        <v/>
      </c>
      <c r="G685" s="20" t="str">
        <f>IF(Summary!O686&lt;&gt;"",Summary!O686,"")</f>
        <v/>
      </c>
    </row>
    <row r="686" spans="1:7">
      <c r="A686" s="39" t="str">
        <f>IF(Summary!A687&lt;&gt;"",Summary!A687,"")</f>
        <v/>
      </c>
      <c r="B686" s="21" t="str">
        <f>IF(Summary!J687&lt;&gt;"",Summary!J687,"")</f>
        <v/>
      </c>
      <c r="C686" s="44" t="str">
        <f>IF(Summary!E687+Summary!H687&gt;0,Summary!E687+Summary!H687,"")</f>
        <v/>
      </c>
      <c r="D686" s="40" t="str">
        <f>IF(Summary!L687&lt;&gt;"",Summary!L687,"")</f>
        <v/>
      </c>
      <c r="E686" s="40" t="str">
        <f>IF(Summary!M687&lt;&gt;"",Summary!M687,"")</f>
        <v/>
      </c>
      <c r="F686" s="20" t="str">
        <f>IF(Summary!N687&lt;&gt;"",Summary!N687,"")</f>
        <v/>
      </c>
      <c r="G686" s="20" t="str">
        <f>IF(Summary!O687&lt;&gt;"",Summary!O687,"")</f>
        <v/>
      </c>
    </row>
    <row r="687" spans="1:7">
      <c r="A687" s="39" t="str">
        <f>IF(Summary!A688&lt;&gt;"",Summary!A688,"")</f>
        <v/>
      </c>
      <c r="B687" s="21" t="str">
        <f>IF(Summary!J688&lt;&gt;"",Summary!J688,"")</f>
        <v/>
      </c>
      <c r="C687" s="44" t="str">
        <f>IF(Summary!E688+Summary!H688&gt;0,Summary!E688+Summary!H688,"")</f>
        <v/>
      </c>
      <c r="D687" s="40" t="str">
        <f>IF(Summary!L688&lt;&gt;"",Summary!L688,"")</f>
        <v/>
      </c>
      <c r="E687" s="40" t="str">
        <f>IF(Summary!M688&lt;&gt;"",Summary!M688,"")</f>
        <v/>
      </c>
      <c r="F687" s="20" t="str">
        <f>IF(Summary!N688&lt;&gt;"",Summary!N688,"")</f>
        <v/>
      </c>
      <c r="G687" s="20" t="str">
        <f>IF(Summary!O688&lt;&gt;"",Summary!O688,"")</f>
        <v/>
      </c>
    </row>
    <row r="688" spans="1:7">
      <c r="A688" s="39" t="str">
        <f>IF(Summary!A689&lt;&gt;"",Summary!A689,"")</f>
        <v/>
      </c>
      <c r="B688" s="21" t="str">
        <f>IF(Summary!J689&lt;&gt;"",Summary!J689,"")</f>
        <v/>
      </c>
      <c r="C688" s="44" t="str">
        <f>IF(Summary!E689+Summary!H689&gt;0,Summary!E689+Summary!H689,"")</f>
        <v/>
      </c>
      <c r="D688" s="40" t="str">
        <f>IF(Summary!L689&lt;&gt;"",Summary!L689,"")</f>
        <v/>
      </c>
      <c r="E688" s="40" t="str">
        <f>IF(Summary!M689&lt;&gt;"",Summary!M689,"")</f>
        <v/>
      </c>
      <c r="F688" s="20" t="str">
        <f>IF(Summary!N689&lt;&gt;"",Summary!N689,"")</f>
        <v/>
      </c>
      <c r="G688" s="20" t="str">
        <f>IF(Summary!O689&lt;&gt;"",Summary!O689,"")</f>
        <v/>
      </c>
    </row>
    <row r="689" spans="1:7">
      <c r="A689" s="39" t="str">
        <f>IF(Summary!A690&lt;&gt;"",Summary!A690,"")</f>
        <v/>
      </c>
      <c r="B689" s="21" t="str">
        <f>IF(Summary!J690&lt;&gt;"",Summary!J690,"")</f>
        <v/>
      </c>
      <c r="C689" s="44" t="str">
        <f>IF(Summary!E690+Summary!H690&gt;0,Summary!E690+Summary!H690,"")</f>
        <v/>
      </c>
      <c r="D689" s="40" t="str">
        <f>IF(Summary!L690&lt;&gt;"",Summary!L690,"")</f>
        <v/>
      </c>
      <c r="E689" s="40" t="str">
        <f>IF(Summary!M690&lt;&gt;"",Summary!M690,"")</f>
        <v/>
      </c>
      <c r="F689" s="20" t="str">
        <f>IF(Summary!N690&lt;&gt;"",Summary!N690,"")</f>
        <v/>
      </c>
      <c r="G689" s="20" t="str">
        <f>IF(Summary!O690&lt;&gt;"",Summary!O690,"")</f>
        <v/>
      </c>
    </row>
    <row r="690" spans="1:7">
      <c r="A690" s="39" t="str">
        <f>IF(Summary!A691&lt;&gt;"",Summary!A691,"")</f>
        <v/>
      </c>
      <c r="B690" s="21" t="str">
        <f>IF(Summary!J691&lt;&gt;"",Summary!J691,"")</f>
        <v/>
      </c>
      <c r="C690" s="44" t="str">
        <f>IF(Summary!E691+Summary!H691&gt;0,Summary!E691+Summary!H691,"")</f>
        <v/>
      </c>
      <c r="D690" s="40" t="str">
        <f>IF(Summary!L691&lt;&gt;"",Summary!L691,"")</f>
        <v/>
      </c>
      <c r="E690" s="40" t="str">
        <f>IF(Summary!M691&lt;&gt;"",Summary!M691,"")</f>
        <v/>
      </c>
      <c r="F690" s="20" t="str">
        <f>IF(Summary!N691&lt;&gt;"",Summary!N691,"")</f>
        <v/>
      </c>
      <c r="G690" s="20" t="str">
        <f>IF(Summary!O691&lt;&gt;"",Summary!O691,"")</f>
        <v/>
      </c>
    </row>
    <row r="691" spans="1:7">
      <c r="A691" s="39" t="str">
        <f>IF(Summary!A692&lt;&gt;"",Summary!A692,"")</f>
        <v/>
      </c>
      <c r="B691" s="21" t="str">
        <f>IF(Summary!J692&lt;&gt;"",Summary!J692,"")</f>
        <v/>
      </c>
      <c r="C691" s="44" t="str">
        <f>IF(Summary!E692+Summary!H692&gt;0,Summary!E692+Summary!H692,"")</f>
        <v/>
      </c>
      <c r="D691" s="40" t="str">
        <f>IF(Summary!L692&lt;&gt;"",Summary!L692,"")</f>
        <v/>
      </c>
      <c r="E691" s="40" t="str">
        <f>IF(Summary!M692&lt;&gt;"",Summary!M692,"")</f>
        <v/>
      </c>
      <c r="F691" s="20" t="str">
        <f>IF(Summary!N692&lt;&gt;"",Summary!N692,"")</f>
        <v/>
      </c>
      <c r="G691" s="20" t="str">
        <f>IF(Summary!O692&lt;&gt;"",Summary!O692,"")</f>
        <v/>
      </c>
    </row>
    <row r="692" spans="1:7">
      <c r="A692" s="39" t="str">
        <f>IF(Summary!A693&lt;&gt;"",Summary!A693,"")</f>
        <v/>
      </c>
      <c r="B692" s="21" t="str">
        <f>IF(Summary!J693&lt;&gt;"",Summary!J693,"")</f>
        <v/>
      </c>
      <c r="C692" s="44" t="str">
        <f>IF(Summary!E693+Summary!H693&gt;0,Summary!E693+Summary!H693,"")</f>
        <v/>
      </c>
      <c r="D692" s="40" t="str">
        <f>IF(Summary!L693&lt;&gt;"",Summary!L693,"")</f>
        <v/>
      </c>
      <c r="E692" s="40" t="str">
        <f>IF(Summary!M693&lt;&gt;"",Summary!M693,"")</f>
        <v/>
      </c>
      <c r="F692" s="20" t="str">
        <f>IF(Summary!N693&lt;&gt;"",Summary!N693,"")</f>
        <v/>
      </c>
      <c r="G692" s="20" t="str">
        <f>IF(Summary!O693&lt;&gt;"",Summary!O693,"")</f>
        <v/>
      </c>
    </row>
    <row r="693" spans="1:7">
      <c r="A693" s="39" t="str">
        <f>IF(Summary!A694&lt;&gt;"",Summary!A694,"")</f>
        <v/>
      </c>
      <c r="B693" s="21" t="str">
        <f>IF(Summary!J694&lt;&gt;"",Summary!J694,"")</f>
        <v/>
      </c>
      <c r="C693" s="44" t="str">
        <f>IF(Summary!E694+Summary!H694&gt;0,Summary!E694+Summary!H694,"")</f>
        <v/>
      </c>
      <c r="D693" s="40" t="str">
        <f>IF(Summary!L694&lt;&gt;"",Summary!L694,"")</f>
        <v/>
      </c>
      <c r="E693" s="40" t="str">
        <f>IF(Summary!M694&lt;&gt;"",Summary!M694,"")</f>
        <v/>
      </c>
      <c r="F693" s="20" t="str">
        <f>IF(Summary!N694&lt;&gt;"",Summary!N694,"")</f>
        <v/>
      </c>
      <c r="G693" s="20" t="str">
        <f>IF(Summary!O694&lt;&gt;"",Summary!O694,"")</f>
        <v/>
      </c>
    </row>
    <row r="694" spans="1:7">
      <c r="A694" s="39" t="str">
        <f>IF(Summary!A695&lt;&gt;"",Summary!A695,"")</f>
        <v/>
      </c>
      <c r="B694" s="21" t="str">
        <f>IF(Summary!J695&lt;&gt;"",Summary!J695,"")</f>
        <v/>
      </c>
      <c r="C694" s="44" t="str">
        <f>IF(Summary!E695+Summary!H695&gt;0,Summary!E695+Summary!H695,"")</f>
        <v/>
      </c>
      <c r="D694" s="40" t="str">
        <f>IF(Summary!L695&lt;&gt;"",Summary!L695,"")</f>
        <v/>
      </c>
      <c r="E694" s="40" t="str">
        <f>IF(Summary!M695&lt;&gt;"",Summary!M695,"")</f>
        <v/>
      </c>
      <c r="F694" s="20" t="str">
        <f>IF(Summary!N695&lt;&gt;"",Summary!N695,"")</f>
        <v/>
      </c>
      <c r="G694" s="20" t="str">
        <f>IF(Summary!O695&lt;&gt;"",Summary!O695,"")</f>
        <v/>
      </c>
    </row>
    <row r="695" spans="1:7">
      <c r="A695" s="39" t="str">
        <f>IF(Summary!A696&lt;&gt;"",Summary!A696,"")</f>
        <v/>
      </c>
      <c r="B695" s="21" t="str">
        <f>IF(Summary!J696&lt;&gt;"",Summary!J696,"")</f>
        <v/>
      </c>
      <c r="C695" s="44" t="str">
        <f>IF(Summary!E696+Summary!H696&gt;0,Summary!E696+Summary!H696,"")</f>
        <v/>
      </c>
      <c r="D695" s="40" t="str">
        <f>IF(Summary!L696&lt;&gt;"",Summary!L696,"")</f>
        <v/>
      </c>
      <c r="E695" s="40" t="str">
        <f>IF(Summary!M696&lt;&gt;"",Summary!M696,"")</f>
        <v/>
      </c>
      <c r="F695" s="20" t="str">
        <f>IF(Summary!N696&lt;&gt;"",Summary!N696,"")</f>
        <v/>
      </c>
      <c r="G695" s="20" t="str">
        <f>IF(Summary!O696&lt;&gt;"",Summary!O696,"")</f>
        <v/>
      </c>
    </row>
    <row r="696" spans="1:7">
      <c r="A696" s="39" t="str">
        <f>IF(Summary!A697&lt;&gt;"",Summary!A697,"")</f>
        <v/>
      </c>
      <c r="B696" s="21" t="str">
        <f>IF(Summary!J697&lt;&gt;"",Summary!J697,"")</f>
        <v/>
      </c>
      <c r="C696" s="44" t="str">
        <f>IF(Summary!E697+Summary!H697&gt;0,Summary!E697+Summary!H697,"")</f>
        <v/>
      </c>
      <c r="D696" s="40" t="str">
        <f>IF(Summary!L697&lt;&gt;"",Summary!L697,"")</f>
        <v/>
      </c>
      <c r="E696" s="40" t="str">
        <f>IF(Summary!M697&lt;&gt;"",Summary!M697,"")</f>
        <v/>
      </c>
      <c r="F696" s="20" t="str">
        <f>IF(Summary!N697&lt;&gt;"",Summary!N697,"")</f>
        <v/>
      </c>
      <c r="G696" s="20" t="str">
        <f>IF(Summary!O697&lt;&gt;"",Summary!O697,"")</f>
        <v/>
      </c>
    </row>
    <row r="697" spans="1:7">
      <c r="A697" s="39" t="str">
        <f>IF(Summary!A698&lt;&gt;"",Summary!A698,"")</f>
        <v/>
      </c>
      <c r="B697" s="21" t="str">
        <f>IF(Summary!J698&lt;&gt;"",Summary!J698,"")</f>
        <v/>
      </c>
      <c r="C697" s="44" t="str">
        <f>IF(Summary!E698+Summary!H698&gt;0,Summary!E698+Summary!H698,"")</f>
        <v/>
      </c>
      <c r="D697" s="40" t="str">
        <f>IF(Summary!L698&lt;&gt;"",Summary!L698,"")</f>
        <v/>
      </c>
      <c r="E697" s="40" t="str">
        <f>IF(Summary!M698&lt;&gt;"",Summary!M698,"")</f>
        <v/>
      </c>
      <c r="F697" s="20" t="str">
        <f>IF(Summary!N698&lt;&gt;"",Summary!N698,"")</f>
        <v/>
      </c>
      <c r="G697" s="20" t="str">
        <f>IF(Summary!O698&lt;&gt;"",Summary!O698,"")</f>
        <v/>
      </c>
    </row>
    <row r="698" spans="1:7">
      <c r="A698" s="39" t="str">
        <f>IF(Summary!A699&lt;&gt;"",Summary!A699,"")</f>
        <v/>
      </c>
      <c r="B698" s="21" t="str">
        <f>IF(Summary!J699&lt;&gt;"",Summary!J699,"")</f>
        <v/>
      </c>
      <c r="C698" s="44" t="str">
        <f>IF(Summary!E699+Summary!H699&gt;0,Summary!E699+Summary!H699,"")</f>
        <v/>
      </c>
      <c r="D698" s="40" t="str">
        <f>IF(Summary!L699&lt;&gt;"",Summary!L699,"")</f>
        <v/>
      </c>
      <c r="E698" s="40" t="str">
        <f>IF(Summary!M699&lt;&gt;"",Summary!M699,"")</f>
        <v/>
      </c>
      <c r="F698" s="20" t="str">
        <f>IF(Summary!N699&lt;&gt;"",Summary!N699,"")</f>
        <v/>
      </c>
      <c r="G698" s="20" t="str">
        <f>IF(Summary!O699&lt;&gt;"",Summary!O699,"")</f>
        <v/>
      </c>
    </row>
    <row r="699" spans="1:7">
      <c r="A699" s="39" t="str">
        <f>IF(Summary!A700&lt;&gt;"",Summary!A700,"")</f>
        <v/>
      </c>
      <c r="B699" s="21" t="str">
        <f>IF(Summary!J700&lt;&gt;"",Summary!J700,"")</f>
        <v/>
      </c>
      <c r="C699" s="44" t="str">
        <f>IF(Summary!E700+Summary!H700&gt;0,Summary!E700+Summary!H700,"")</f>
        <v/>
      </c>
      <c r="D699" s="40" t="str">
        <f>IF(Summary!L700&lt;&gt;"",Summary!L700,"")</f>
        <v/>
      </c>
      <c r="E699" s="40" t="str">
        <f>IF(Summary!M700&lt;&gt;"",Summary!M700,"")</f>
        <v/>
      </c>
      <c r="F699" s="20" t="str">
        <f>IF(Summary!N700&lt;&gt;"",Summary!N700,"")</f>
        <v/>
      </c>
      <c r="G699" s="20" t="str">
        <f>IF(Summary!O700&lt;&gt;"",Summary!O700,"")</f>
        <v/>
      </c>
    </row>
    <row r="700" spans="1:7">
      <c r="A700" s="39" t="str">
        <f>IF(Summary!A701&lt;&gt;"",Summary!A701,"")</f>
        <v/>
      </c>
      <c r="B700" s="21" t="str">
        <f>IF(Summary!J701&lt;&gt;"",Summary!J701,"")</f>
        <v/>
      </c>
      <c r="C700" s="44" t="str">
        <f>IF(Summary!E701+Summary!H701&gt;0,Summary!E701+Summary!H701,"")</f>
        <v/>
      </c>
      <c r="D700" s="40" t="str">
        <f>IF(Summary!L701&lt;&gt;"",Summary!L701,"")</f>
        <v/>
      </c>
      <c r="E700" s="40" t="str">
        <f>IF(Summary!M701&lt;&gt;"",Summary!M701,"")</f>
        <v/>
      </c>
      <c r="F700" s="20" t="str">
        <f>IF(Summary!N701&lt;&gt;"",Summary!N701,"")</f>
        <v/>
      </c>
      <c r="G700" s="20" t="str">
        <f>IF(Summary!O701&lt;&gt;"",Summary!O701,"")</f>
        <v/>
      </c>
    </row>
    <row r="701" spans="1:7">
      <c r="A701" s="39" t="str">
        <f>IF(Summary!A702&lt;&gt;"",Summary!A702,"")</f>
        <v/>
      </c>
      <c r="B701" s="21" t="str">
        <f>IF(Summary!J702&lt;&gt;"",Summary!J702,"")</f>
        <v/>
      </c>
      <c r="C701" s="44" t="str">
        <f>IF(Summary!E702+Summary!H702&gt;0,Summary!E702+Summary!H702,"")</f>
        <v/>
      </c>
      <c r="D701" s="40" t="str">
        <f>IF(Summary!L702&lt;&gt;"",Summary!L702,"")</f>
        <v/>
      </c>
      <c r="E701" s="40" t="str">
        <f>IF(Summary!M702&lt;&gt;"",Summary!M702,"")</f>
        <v/>
      </c>
      <c r="F701" s="20" t="str">
        <f>IF(Summary!N702&lt;&gt;"",Summary!N702,"")</f>
        <v/>
      </c>
      <c r="G701" s="20" t="str">
        <f>IF(Summary!O702&lt;&gt;"",Summary!O702,"")</f>
        <v/>
      </c>
    </row>
    <row r="702" spans="1:7">
      <c r="A702" s="39" t="str">
        <f>IF(Summary!A703&lt;&gt;"",Summary!A703,"")</f>
        <v/>
      </c>
      <c r="B702" s="21" t="str">
        <f>IF(Summary!J703&lt;&gt;"",Summary!J703,"")</f>
        <v/>
      </c>
      <c r="C702" s="44" t="str">
        <f>IF(Summary!E703+Summary!H703&gt;0,Summary!E703+Summary!H703,"")</f>
        <v/>
      </c>
      <c r="D702" s="40" t="str">
        <f>IF(Summary!L703&lt;&gt;"",Summary!L703,"")</f>
        <v/>
      </c>
      <c r="E702" s="40" t="str">
        <f>IF(Summary!M703&lt;&gt;"",Summary!M703,"")</f>
        <v/>
      </c>
      <c r="F702" s="20" t="str">
        <f>IF(Summary!N703&lt;&gt;"",Summary!N703,"")</f>
        <v/>
      </c>
      <c r="G702" s="20" t="str">
        <f>IF(Summary!O703&lt;&gt;"",Summary!O703,"")</f>
        <v/>
      </c>
    </row>
    <row r="703" spans="1:7">
      <c r="A703" s="39" t="str">
        <f>IF(Summary!A704&lt;&gt;"",Summary!A704,"")</f>
        <v/>
      </c>
      <c r="B703" s="21" t="str">
        <f>IF(Summary!J704&lt;&gt;"",Summary!J704,"")</f>
        <v/>
      </c>
      <c r="C703" s="44" t="str">
        <f>IF(Summary!E704+Summary!H704&gt;0,Summary!E704+Summary!H704,"")</f>
        <v/>
      </c>
      <c r="D703" s="40" t="str">
        <f>IF(Summary!L704&lt;&gt;"",Summary!L704,"")</f>
        <v/>
      </c>
      <c r="E703" s="40" t="str">
        <f>IF(Summary!M704&lt;&gt;"",Summary!M704,"")</f>
        <v/>
      </c>
      <c r="F703" s="20" t="str">
        <f>IF(Summary!N704&lt;&gt;"",Summary!N704,"")</f>
        <v/>
      </c>
      <c r="G703" s="20" t="str">
        <f>IF(Summary!O704&lt;&gt;"",Summary!O704,"")</f>
        <v/>
      </c>
    </row>
    <row r="704" spans="1:7">
      <c r="A704" s="39" t="str">
        <f>IF(Summary!A705&lt;&gt;"",Summary!A705,"")</f>
        <v/>
      </c>
      <c r="B704" s="21" t="str">
        <f>IF(Summary!J705&lt;&gt;"",Summary!J705,"")</f>
        <v/>
      </c>
      <c r="C704" s="44" t="str">
        <f>IF(Summary!E705+Summary!H705&gt;0,Summary!E705+Summary!H705,"")</f>
        <v/>
      </c>
      <c r="D704" s="40" t="str">
        <f>IF(Summary!L705&lt;&gt;"",Summary!L705,"")</f>
        <v/>
      </c>
      <c r="E704" s="40" t="str">
        <f>IF(Summary!M705&lt;&gt;"",Summary!M705,"")</f>
        <v/>
      </c>
      <c r="F704" s="20" t="str">
        <f>IF(Summary!N705&lt;&gt;"",Summary!N705,"")</f>
        <v/>
      </c>
      <c r="G704" s="20" t="str">
        <f>IF(Summary!O705&lt;&gt;"",Summary!O705,"")</f>
        <v/>
      </c>
    </row>
    <row r="705" spans="1:7">
      <c r="A705" s="39" t="str">
        <f>IF(Summary!A706&lt;&gt;"",Summary!A706,"")</f>
        <v/>
      </c>
      <c r="B705" s="21" t="str">
        <f>IF(Summary!J706&lt;&gt;"",Summary!J706,"")</f>
        <v/>
      </c>
      <c r="C705" s="44" t="str">
        <f>IF(Summary!E706+Summary!H706&gt;0,Summary!E706+Summary!H706,"")</f>
        <v/>
      </c>
      <c r="D705" s="40" t="str">
        <f>IF(Summary!L706&lt;&gt;"",Summary!L706,"")</f>
        <v/>
      </c>
      <c r="E705" s="40" t="str">
        <f>IF(Summary!M706&lt;&gt;"",Summary!M706,"")</f>
        <v/>
      </c>
      <c r="F705" s="20" t="str">
        <f>IF(Summary!N706&lt;&gt;"",Summary!N706,"")</f>
        <v/>
      </c>
      <c r="G705" s="20" t="str">
        <f>IF(Summary!O706&lt;&gt;"",Summary!O706,"")</f>
        <v/>
      </c>
    </row>
    <row r="706" spans="1:7">
      <c r="A706" s="39" t="str">
        <f>IF(Summary!A707&lt;&gt;"",Summary!A707,"")</f>
        <v/>
      </c>
      <c r="B706" s="21" t="str">
        <f>IF(Summary!J707&lt;&gt;"",Summary!J707,"")</f>
        <v/>
      </c>
      <c r="C706" s="44" t="str">
        <f>IF(Summary!E707+Summary!H707&gt;0,Summary!E707+Summary!H707,"")</f>
        <v/>
      </c>
      <c r="D706" s="40" t="str">
        <f>IF(Summary!L707&lt;&gt;"",Summary!L707,"")</f>
        <v/>
      </c>
      <c r="E706" s="40" t="str">
        <f>IF(Summary!M707&lt;&gt;"",Summary!M707,"")</f>
        <v/>
      </c>
      <c r="F706" s="20" t="str">
        <f>IF(Summary!N707&lt;&gt;"",Summary!N707,"")</f>
        <v/>
      </c>
      <c r="G706" s="20" t="str">
        <f>IF(Summary!O707&lt;&gt;"",Summary!O707,"")</f>
        <v/>
      </c>
    </row>
    <row r="707" spans="1:7">
      <c r="A707" s="39" t="str">
        <f>IF(Summary!A708&lt;&gt;"",Summary!A708,"")</f>
        <v/>
      </c>
      <c r="B707" s="21" t="str">
        <f>IF(Summary!J708&lt;&gt;"",Summary!J708,"")</f>
        <v/>
      </c>
      <c r="C707" s="44" t="str">
        <f>IF(Summary!E708+Summary!H708&gt;0,Summary!E708+Summary!H708,"")</f>
        <v/>
      </c>
      <c r="D707" s="40" t="str">
        <f>IF(Summary!L708&lt;&gt;"",Summary!L708,"")</f>
        <v/>
      </c>
      <c r="E707" s="40" t="str">
        <f>IF(Summary!M708&lt;&gt;"",Summary!M708,"")</f>
        <v/>
      </c>
      <c r="F707" s="20" t="str">
        <f>IF(Summary!N708&lt;&gt;"",Summary!N708,"")</f>
        <v/>
      </c>
      <c r="G707" s="20" t="str">
        <f>IF(Summary!O708&lt;&gt;"",Summary!O708,"")</f>
        <v/>
      </c>
    </row>
    <row r="708" spans="1:7">
      <c r="A708" s="39" t="str">
        <f>IF(Summary!A709&lt;&gt;"",Summary!A709,"")</f>
        <v/>
      </c>
      <c r="B708" s="21" t="str">
        <f>IF(Summary!J709&lt;&gt;"",Summary!J709,"")</f>
        <v/>
      </c>
      <c r="C708" s="44" t="str">
        <f>IF(Summary!E709+Summary!H709&gt;0,Summary!E709+Summary!H709,"")</f>
        <v/>
      </c>
      <c r="D708" s="40" t="str">
        <f>IF(Summary!L709&lt;&gt;"",Summary!L709,"")</f>
        <v/>
      </c>
      <c r="E708" s="40" t="str">
        <f>IF(Summary!M709&lt;&gt;"",Summary!M709,"")</f>
        <v/>
      </c>
      <c r="F708" s="20" t="str">
        <f>IF(Summary!N709&lt;&gt;"",Summary!N709,"")</f>
        <v/>
      </c>
      <c r="G708" s="20" t="str">
        <f>IF(Summary!O709&lt;&gt;"",Summary!O709,"")</f>
        <v/>
      </c>
    </row>
    <row r="709" spans="1:7">
      <c r="A709" s="39" t="str">
        <f>IF(Summary!A710&lt;&gt;"",Summary!A710,"")</f>
        <v/>
      </c>
      <c r="B709" s="21" t="str">
        <f>IF(Summary!J710&lt;&gt;"",Summary!J710,"")</f>
        <v/>
      </c>
      <c r="C709" s="44" t="str">
        <f>IF(Summary!E710+Summary!H710&gt;0,Summary!E710+Summary!H710,"")</f>
        <v/>
      </c>
      <c r="D709" s="40" t="str">
        <f>IF(Summary!L710&lt;&gt;"",Summary!L710,"")</f>
        <v/>
      </c>
      <c r="E709" s="40" t="str">
        <f>IF(Summary!M710&lt;&gt;"",Summary!M710,"")</f>
        <v/>
      </c>
      <c r="F709" s="20" t="str">
        <f>IF(Summary!N710&lt;&gt;"",Summary!N710,"")</f>
        <v/>
      </c>
      <c r="G709" s="20" t="str">
        <f>IF(Summary!O710&lt;&gt;"",Summary!O710,"")</f>
        <v/>
      </c>
    </row>
    <row r="710" spans="1:7">
      <c r="A710" s="39" t="str">
        <f>IF(Summary!A711&lt;&gt;"",Summary!A711,"")</f>
        <v/>
      </c>
      <c r="B710" s="21" t="str">
        <f>IF(Summary!J711&lt;&gt;"",Summary!J711,"")</f>
        <v/>
      </c>
      <c r="C710" s="44" t="str">
        <f>IF(Summary!E711+Summary!H711&gt;0,Summary!E711+Summary!H711,"")</f>
        <v/>
      </c>
      <c r="D710" s="40" t="str">
        <f>IF(Summary!L711&lt;&gt;"",Summary!L711,"")</f>
        <v/>
      </c>
      <c r="E710" s="40" t="str">
        <f>IF(Summary!M711&lt;&gt;"",Summary!M711,"")</f>
        <v/>
      </c>
      <c r="F710" s="20" t="str">
        <f>IF(Summary!N711&lt;&gt;"",Summary!N711,"")</f>
        <v/>
      </c>
      <c r="G710" s="20" t="str">
        <f>IF(Summary!O711&lt;&gt;"",Summary!O711,"")</f>
        <v/>
      </c>
    </row>
    <row r="711" spans="1:7">
      <c r="A711" s="39" t="str">
        <f>IF(Summary!A712&lt;&gt;"",Summary!A712,"")</f>
        <v/>
      </c>
      <c r="B711" s="21" t="str">
        <f>IF(Summary!J712&lt;&gt;"",Summary!J712,"")</f>
        <v/>
      </c>
      <c r="C711" s="44" t="str">
        <f>IF(Summary!E712+Summary!H712&gt;0,Summary!E712+Summary!H712,"")</f>
        <v/>
      </c>
      <c r="D711" s="40" t="str">
        <f>IF(Summary!L712&lt;&gt;"",Summary!L712,"")</f>
        <v/>
      </c>
      <c r="E711" s="40" t="str">
        <f>IF(Summary!M712&lt;&gt;"",Summary!M712,"")</f>
        <v/>
      </c>
      <c r="F711" s="20" t="str">
        <f>IF(Summary!N712&lt;&gt;"",Summary!N712,"")</f>
        <v/>
      </c>
      <c r="G711" s="20" t="str">
        <f>IF(Summary!O712&lt;&gt;"",Summary!O712,"")</f>
        <v/>
      </c>
    </row>
    <row r="712" spans="1:7">
      <c r="A712" s="39" t="str">
        <f>IF(Summary!A713&lt;&gt;"",Summary!A713,"")</f>
        <v/>
      </c>
      <c r="B712" s="21" t="str">
        <f>IF(Summary!J713&lt;&gt;"",Summary!J713,"")</f>
        <v/>
      </c>
      <c r="C712" s="44" t="str">
        <f>IF(Summary!E713+Summary!H713&gt;0,Summary!E713+Summary!H713,"")</f>
        <v/>
      </c>
      <c r="D712" s="40" t="str">
        <f>IF(Summary!L713&lt;&gt;"",Summary!L713,"")</f>
        <v/>
      </c>
      <c r="E712" s="40" t="str">
        <f>IF(Summary!M713&lt;&gt;"",Summary!M713,"")</f>
        <v/>
      </c>
      <c r="F712" s="20" t="str">
        <f>IF(Summary!N713&lt;&gt;"",Summary!N713,"")</f>
        <v/>
      </c>
      <c r="G712" s="20" t="str">
        <f>IF(Summary!O713&lt;&gt;"",Summary!O713,"")</f>
        <v/>
      </c>
    </row>
    <row r="713" spans="1:7">
      <c r="A713" s="39" t="str">
        <f>IF(Summary!A714&lt;&gt;"",Summary!A714,"")</f>
        <v/>
      </c>
      <c r="B713" s="21" t="str">
        <f>IF(Summary!J714&lt;&gt;"",Summary!J714,"")</f>
        <v/>
      </c>
      <c r="C713" s="44" t="str">
        <f>IF(Summary!E714+Summary!H714&gt;0,Summary!E714+Summary!H714,"")</f>
        <v/>
      </c>
      <c r="D713" s="40" t="str">
        <f>IF(Summary!L714&lt;&gt;"",Summary!L714,"")</f>
        <v/>
      </c>
      <c r="E713" s="40" t="str">
        <f>IF(Summary!M714&lt;&gt;"",Summary!M714,"")</f>
        <v/>
      </c>
      <c r="F713" s="20" t="str">
        <f>IF(Summary!N714&lt;&gt;"",Summary!N714,"")</f>
        <v/>
      </c>
      <c r="G713" s="20" t="str">
        <f>IF(Summary!O714&lt;&gt;"",Summary!O714,"")</f>
        <v/>
      </c>
    </row>
    <row r="714" spans="1:7">
      <c r="A714" s="39" t="str">
        <f>IF(Summary!A715&lt;&gt;"",Summary!A715,"")</f>
        <v/>
      </c>
      <c r="B714" s="21" t="str">
        <f>IF(Summary!J715&lt;&gt;"",Summary!J715,"")</f>
        <v/>
      </c>
      <c r="C714" s="44" t="str">
        <f>IF(Summary!E715+Summary!H715&gt;0,Summary!E715+Summary!H715,"")</f>
        <v/>
      </c>
      <c r="D714" s="40" t="str">
        <f>IF(Summary!L715&lt;&gt;"",Summary!L715,"")</f>
        <v/>
      </c>
      <c r="E714" s="40" t="str">
        <f>IF(Summary!M715&lt;&gt;"",Summary!M715,"")</f>
        <v/>
      </c>
      <c r="F714" s="20" t="str">
        <f>IF(Summary!N715&lt;&gt;"",Summary!N715,"")</f>
        <v/>
      </c>
      <c r="G714" s="20" t="str">
        <f>IF(Summary!O715&lt;&gt;"",Summary!O715,"")</f>
        <v/>
      </c>
    </row>
    <row r="715" spans="1:7">
      <c r="A715" s="39" t="str">
        <f>IF(Summary!A716&lt;&gt;"",Summary!A716,"")</f>
        <v/>
      </c>
      <c r="B715" s="21" t="str">
        <f>IF(Summary!J716&lt;&gt;"",Summary!J716,"")</f>
        <v/>
      </c>
      <c r="C715" s="44" t="str">
        <f>IF(Summary!E716+Summary!H716&gt;0,Summary!E716+Summary!H716,"")</f>
        <v/>
      </c>
      <c r="D715" s="40" t="str">
        <f>IF(Summary!L716&lt;&gt;"",Summary!L716,"")</f>
        <v/>
      </c>
      <c r="E715" s="40" t="str">
        <f>IF(Summary!M716&lt;&gt;"",Summary!M716,"")</f>
        <v/>
      </c>
      <c r="F715" s="20" t="str">
        <f>IF(Summary!N716&lt;&gt;"",Summary!N716,"")</f>
        <v/>
      </c>
      <c r="G715" s="20" t="str">
        <f>IF(Summary!O716&lt;&gt;"",Summary!O716,"")</f>
        <v/>
      </c>
    </row>
    <row r="716" spans="1:7">
      <c r="A716" s="39" t="str">
        <f>IF(Summary!A717&lt;&gt;"",Summary!A717,"")</f>
        <v/>
      </c>
      <c r="B716" s="21" t="str">
        <f>IF(Summary!J717&lt;&gt;"",Summary!J717,"")</f>
        <v/>
      </c>
      <c r="C716" s="44" t="str">
        <f>IF(Summary!E717+Summary!H717&gt;0,Summary!E717+Summary!H717,"")</f>
        <v/>
      </c>
      <c r="D716" s="40" t="str">
        <f>IF(Summary!L717&lt;&gt;"",Summary!L717,"")</f>
        <v/>
      </c>
      <c r="E716" s="40" t="str">
        <f>IF(Summary!M717&lt;&gt;"",Summary!M717,"")</f>
        <v/>
      </c>
      <c r="F716" s="20" t="str">
        <f>IF(Summary!N717&lt;&gt;"",Summary!N717,"")</f>
        <v/>
      </c>
      <c r="G716" s="20" t="str">
        <f>IF(Summary!O717&lt;&gt;"",Summary!O717,"")</f>
        <v/>
      </c>
    </row>
    <row r="717" spans="1:7">
      <c r="A717" s="39" t="str">
        <f>IF(Summary!A718&lt;&gt;"",Summary!A718,"")</f>
        <v/>
      </c>
      <c r="B717" s="21" t="str">
        <f>IF(Summary!J718&lt;&gt;"",Summary!J718,"")</f>
        <v/>
      </c>
      <c r="C717" s="44" t="str">
        <f>IF(Summary!E718+Summary!H718&gt;0,Summary!E718+Summary!H718,"")</f>
        <v/>
      </c>
      <c r="D717" s="40" t="str">
        <f>IF(Summary!L718&lt;&gt;"",Summary!L718,"")</f>
        <v/>
      </c>
      <c r="E717" s="40" t="str">
        <f>IF(Summary!M718&lt;&gt;"",Summary!M718,"")</f>
        <v/>
      </c>
      <c r="F717" s="20" t="str">
        <f>IF(Summary!N718&lt;&gt;"",Summary!N718,"")</f>
        <v/>
      </c>
      <c r="G717" s="20" t="str">
        <f>IF(Summary!O718&lt;&gt;"",Summary!O718,"")</f>
        <v/>
      </c>
    </row>
    <row r="718" spans="1:7">
      <c r="A718" s="39" t="str">
        <f>IF(Summary!A719&lt;&gt;"",Summary!A719,"")</f>
        <v/>
      </c>
      <c r="B718" s="21" t="str">
        <f>IF(Summary!J719&lt;&gt;"",Summary!J719,"")</f>
        <v/>
      </c>
      <c r="C718" s="44" t="str">
        <f>IF(Summary!E719+Summary!H719&gt;0,Summary!E719+Summary!H719,"")</f>
        <v/>
      </c>
      <c r="D718" s="40" t="str">
        <f>IF(Summary!L719&lt;&gt;"",Summary!L719,"")</f>
        <v/>
      </c>
      <c r="E718" s="40" t="str">
        <f>IF(Summary!M719&lt;&gt;"",Summary!M719,"")</f>
        <v/>
      </c>
      <c r="F718" s="20" t="str">
        <f>IF(Summary!N719&lt;&gt;"",Summary!N719,"")</f>
        <v/>
      </c>
      <c r="G718" s="20" t="str">
        <f>IF(Summary!O719&lt;&gt;"",Summary!O719,"")</f>
        <v/>
      </c>
    </row>
    <row r="719" spans="1:7">
      <c r="A719" s="39" t="str">
        <f>IF(Summary!A720&lt;&gt;"",Summary!A720,"")</f>
        <v/>
      </c>
      <c r="B719" s="21" t="str">
        <f>IF(Summary!J720&lt;&gt;"",Summary!J720,"")</f>
        <v/>
      </c>
      <c r="C719" s="44" t="str">
        <f>IF(Summary!E720+Summary!H720&gt;0,Summary!E720+Summary!H720,"")</f>
        <v/>
      </c>
      <c r="D719" s="40" t="str">
        <f>IF(Summary!L720&lt;&gt;"",Summary!L720,"")</f>
        <v/>
      </c>
      <c r="E719" s="40" t="str">
        <f>IF(Summary!M720&lt;&gt;"",Summary!M720,"")</f>
        <v/>
      </c>
      <c r="F719" s="20" t="str">
        <f>IF(Summary!N720&lt;&gt;"",Summary!N720,"")</f>
        <v/>
      </c>
      <c r="G719" s="20" t="str">
        <f>IF(Summary!O720&lt;&gt;"",Summary!O720,"")</f>
        <v/>
      </c>
    </row>
    <row r="720" spans="1:7">
      <c r="A720" s="39" t="str">
        <f>IF(Summary!A721&lt;&gt;"",Summary!A721,"")</f>
        <v/>
      </c>
      <c r="B720" s="21" t="str">
        <f>IF(Summary!J721&lt;&gt;"",Summary!J721,"")</f>
        <v/>
      </c>
      <c r="C720" s="44" t="str">
        <f>IF(Summary!E721+Summary!H721&gt;0,Summary!E721+Summary!H721,"")</f>
        <v/>
      </c>
      <c r="D720" s="40" t="str">
        <f>IF(Summary!L721&lt;&gt;"",Summary!L721,"")</f>
        <v/>
      </c>
      <c r="E720" s="40" t="str">
        <f>IF(Summary!M721&lt;&gt;"",Summary!M721,"")</f>
        <v/>
      </c>
      <c r="F720" s="20" t="str">
        <f>IF(Summary!N721&lt;&gt;"",Summary!N721,"")</f>
        <v/>
      </c>
      <c r="G720" s="20" t="str">
        <f>IF(Summary!O721&lt;&gt;"",Summary!O721,"")</f>
        <v/>
      </c>
    </row>
    <row r="721" spans="1:7">
      <c r="A721" s="39" t="str">
        <f>IF(Summary!A722&lt;&gt;"",Summary!A722,"")</f>
        <v/>
      </c>
      <c r="B721" s="21" t="str">
        <f>IF(Summary!J722&lt;&gt;"",Summary!J722,"")</f>
        <v/>
      </c>
      <c r="C721" s="44" t="str">
        <f>IF(Summary!E722+Summary!H722&gt;0,Summary!E722+Summary!H722,"")</f>
        <v/>
      </c>
      <c r="D721" s="40" t="str">
        <f>IF(Summary!L722&lt;&gt;"",Summary!L722,"")</f>
        <v/>
      </c>
      <c r="E721" s="40" t="str">
        <f>IF(Summary!M722&lt;&gt;"",Summary!M722,"")</f>
        <v/>
      </c>
      <c r="F721" s="20" t="str">
        <f>IF(Summary!N722&lt;&gt;"",Summary!N722,"")</f>
        <v/>
      </c>
      <c r="G721" s="20" t="str">
        <f>IF(Summary!O722&lt;&gt;"",Summary!O722,"")</f>
        <v/>
      </c>
    </row>
    <row r="722" spans="1:7">
      <c r="A722" s="39" t="str">
        <f>IF(Summary!A723&lt;&gt;"",Summary!A723,"")</f>
        <v/>
      </c>
      <c r="B722" s="21" t="str">
        <f>IF(Summary!J723&lt;&gt;"",Summary!J723,"")</f>
        <v/>
      </c>
      <c r="C722" s="44" t="str">
        <f>IF(Summary!E723+Summary!H723&gt;0,Summary!E723+Summary!H723,"")</f>
        <v/>
      </c>
      <c r="D722" s="40" t="str">
        <f>IF(Summary!L723&lt;&gt;"",Summary!L723,"")</f>
        <v/>
      </c>
      <c r="E722" s="40" t="str">
        <f>IF(Summary!M723&lt;&gt;"",Summary!M723,"")</f>
        <v/>
      </c>
      <c r="F722" s="20" t="str">
        <f>IF(Summary!N723&lt;&gt;"",Summary!N723,"")</f>
        <v/>
      </c>
      <c r="G722" s="20" t="str">
        <f>IF(Summary!O723&lt;&gt;"",Summary!O723,"")</f>
        <v/>
      </c>
    </row>
    <row r="723" spans="1:7">
      <c r="A723" s="39" t="str">
        <f>IF(Summary!A724&lt;&gt;"",Summary!A724,"")</f>
        <v/>
      </c>
      <c r="B723" s="21" t="str">
        <f>IF(Summary!J724&lt;&gt;"",Summary!J724,"")</f>
        <v/>
      </c>
      <c r="C723" s="44" t="str">
        <f>IF(Summary!E724+Summary!H724&gt;0,Summary!E724+Summary!H724,"")</f>
        <v/>
      </c>
      <c r="D723" s="40" t="str">
        <f>IF(Summary!L724&lt;&gt;"",Summary!L724,"")</f>
        <v/>
      </c>
      <c r="E723" s="40" t="str">
        <f>IF(Summary!M724&lt;&gt;"",Summary!M724,"")</f>
        <v/>
      </c>
      <c r="F723" s="20" t="str">
        <f>IF(Summary!N724&lt;&gt;"",Summary!N724,"")</f>
        <v/>
      </c>
      <c r="G723" s="20" t="str">
        <f>IF(Summary!O724&lt;&gt;"",Summary!O724,"")</f>
        <v/>
      </c>
    </row>
    <row r="724" spans="1:7">
      <c r="A724" s="39" t="str">
        <f>IF(Summary!A725&lt;&gt;"",Summary!A725,"")</f>
        <v/>
      </c>
      <c r="B724" s="21" t="str">
        <f>IF(Summary!J725&lt;&gt;"",Summary!J725,"")</f>
        <v/>
      </c>
      <c r="C724" s="44" t="str">
        <f>IF(Summary!E725+Summary!H725&gt;0,Summary!E725+Summary!H725,"")</f>
        <v/>
      </c>
      <c r="D724" s="40" t="str">
        <f>IF(Summary!L725&lt;&gt;"",Summary!L725,"")</f>
        <v/>
      </c>
      <c r="E724" s="40" t="str">
        <f>IF(Summary!M725&lt;&gt;"",Summary!M725,"")</f>
        <v/>
      </c>
      <c r="F724" s="20" t="str">
        <f>IF(Summary!N725&lt;&gt;"",Summary!N725,"")</f>
        <v/>
      </c>
      <c r="G724" s="20" t="str">
        <f>IF(Summary!O725&lt;&gt;"",Summary!O725,"")</f>
        <v/>
      </c>
    </row>
    <row r="725" spans="1:7">
      <c r="A725" s="39" t="str">
        <f>IF(Summary!A726&lt;&gt;"",Summary!A726,"")</f>
        <v/>
      </c>
      <c r="B725" s="21" t="str">
        <f>IF(Summary!J726&lt;&gt;"",Summary!J726,"")</f>
        <v/>
      </c>
      <c r="C725" s="44" t="str">
        <f>IF(Summary!E726+Summary!H726&gt;0,Summary!E726+Summary!H726,"")</f>
        <v/>
      </c>
      <c r="D725" s="40" t="str">
        <f>IF(Summary!L726&lt;&gt;"",Summary!L726,"")</f>
        <v/>
      </c>
      <c r="E725" s="40" t="str">
        <f>IF(Summary!M726&lt;&gt;"",Summary!M726,"")</f>
        <v/>
      </c>
      <c r="F725" s="20" t="str">
        <f>IF(Summary!N726&lt;&gt;"",Summary!N726,"")</f>
        <v/>
      </c>
      <c r="G725" s="20" t="str">
        <f>IF(Summary!O726&lt;&gt;"",Summary!O726,"")</f>
        <v/>
      </c>
    </row>
    <row r="726" spans="1:7">
      <c r="A726" s="39" t="str">
        <f>IF(Summary!A727&lt;&gt;"",Summary!A727,"")</f>
        <v/>
      </c>
      <c r="B726" s="21" t="str">
        <f>IF(Summary!J727&lt;&gt;"",Summary!J727,"")</f>
        <v/>
      </c>
      <c r="C726" s="44" t="str">
        <f>IF(Summary!E727+Summary!H727&gt;0,Summary!E727+Summary!H727,"")</f>
        <v/>
      </c>
      <c r="D726" s="40" t="str">
        <f>IF(Summary!L727&lt;&gt;"",Summary!L727,"")</f>
        <v/>
      </c>
      <c r="E726" s="40" t="str">
        <f>IF(Summary!M727&lt;&gt;"",Summary!M727,"")</f>
        <v/>
      </c>
      <c r="F726" s="20" t="str">
        <f>IF(Summary!N727&lt;&gt;"",Summary!N727,"")</f>
        <v/>
      </c>
      <c r="G726" s="20" t="str">
        <f>IF(Summary!O727&lt;&gt;"",Summary!O727,"")</f>
        <v/>
      </c>
    </row>
    <row r="727" spans="1:7">
      <c r="A727" s="39" t="str">
        <f>IF(Summary!A728&lt;&gt;"",Summary!A728,"")</f>
        <v/>
      </c>
      <c r="B727" s="21" t="str">
        <f>IF(Summary!J728&lt;&gt;"",Summary!J728,"")</f>
        <v/>
      </c>
      <c r="C727" s="44" t="str">
        <f>IF(Summary!E728+Summary!H728&gt;0,Summary!E728+Summary!H728,"")</f>
        <v/>
      </c>
      <c r="D727" s="40" t="str">
        <f>IF(Summary!L728&lt;&gt;"",Summary!L728,"")</f>
        <v/>
      </c>
      <c r="E727" s="40" t="str">
        <f>IF(Summary!M728&lt;&gt;"",Summary!M728,"")</f>
        <v/>
      </c>
      <c r="F727" s="20" t="str">
        <f>IF(Summary!N728&lt;&gt;"",Summary!N728,"")</f>
        <v/>
      </c>
      <c r="G727" s="20" t="str">
        <f>IF(Summary!O728&lt;&gt;"",Summary!O728,"")</f>
        <v/>
      </c>
    </row>
    <row r="728" spans="1:7">
      <c r="A728" s="39" t="str">
        <f>IF(Summary!A729&lt;&gt;"",Summary!A729,"")</f>
        <v/>
      </c>
      <c r="B728" s="21" t="str">
        <f>IF(Summary!J729&lt;&gt;"",Summary!J729,"")</f>
        <v/>
      </c>
      <c r="C728" s="44" t="str">
        <f>IF(Summary!E729+Summary!H729&gt;0,Summary!E729+Summary!H729,"")</f>
        <v/>
      </c>
      <c r="D728" s="40" t="str">
        <f>IF(Summary!L729&lt;&gt;"",Summary!L729,"")</f>
        <v/>
      </c>
      <c r="E728" s="40" t="str">
        <f>IF(Summary!M729&lt;&gt;"",Summary!M729,"")</f>
        <v/>
      </c>
      <c r="F728" s="20" t="str">
        <f>IF(Summary!N729&lt;&gt;"",Summary!N729,"")</f>
        <v/>
      </c>
      <c r="G728" s="20" t="str">
        <f>IF(Summary!O729&lt;&gt;"",Summary!O729,"")</f>
        <v/>
      </c>
    </row>
    <row r="729" spans="1:7">
      <c r="A729" s="39" t="str">
        <f>IF(Summary!A730&lt;&gt;"",Summary!A730,"")</f>
        <v/>
      </c>
      <c r="B729" s="21" t="str">
        <f>IF(Summary!J730&lt;&gt;"",Summary!J730,"")</f>
        <v/>
      </c>
      <c r="C729" s="44" t="str">
        <f>IF(Summary!E730+Summary!H730&gt;0,Summary!E730+Summary!H730,"")</f>
        <v/>
      </c>
      <c r="D729" s="40" t="str">
        <f>IF(Summary!L730&lt;&gt;"",Summary!L730,"")</f>
        <v/>
      </c>
      <c r="E729" s="40" t="str">
        <f>IF(Summary!M730&lt;&gt;"",Summary!M730,"")</f>
        <v/>
      </c>
      <c r="F729" s="20" t="str">
        <f>IF(Summary!N730&lt;&gt;"",Summary!N730,"")</f>
        <v/>
      </c>
      <c r="G729" s="20" t="str">
        <f>IF(Summary!O730&lt;&gt;"",Summary!O730,"")</f>
        <v/>
      </c>
    </row>
    <row r="730" spans="1:7">
      <c r="A730" s="39" t="str">
        <f>IF(Summary!A731&lt;&gt;"",Summary!A731,"")</f>
        <v/>
      </c>
      <c r="B730" s="21" t="str">
        <f>IF(Summary!J731&lt;&gt;"",Summary!J731,"")</f>
        <v/>
      </c>
      <c r="C730" s="44" t="str">
        <f>IF(Summary!E731+Summary!H731&gt;0,Summary!E731+Summary!H731,"")</f>
        <v/>
      </c>
      <c r="D730" s="40" t="str">
        <f>IF(Summary!L731&lt;&gt;"",Summary!L731,"")</f>
        <v/>
      </c>
      <c r="E730" s="40" t="str">
        <f>IF(Summary!M731&lt;&gt;"",Summary!M731,"")</f>
        <v/>
      </c>
      <c r="F730" s="20" t="str">
        <f>IF(Summary!N731&lt;&gt;"",Summary!N731,"")</f>
        <v/>
      </c>
      <c r="G730" s="20" t="str">
        <f>IF(Summary!O731&lt;&gt;"",Summary!O731,"")</f>
        <v/>
      </c>
    </row>
    <row r="731" spans="1:7">
      <c r="A731" s="39" t="str">
        <f>IF(Summary!A732&lt;&gt;"",Summary!A732,"")</f>
        <v/>
      </c>
      <c r="B731" s="21" t="str">
        <f>IF(Summary!J732&lt;&gt;"",Summary!J732,"")</f>
        <v/>
      </c>
      <c r="C731" s="44" t="str">
        <f>IF(Summary!E732+Summary!H732&gt;0,Summary!E732+Summary!H732,"")</f>
        <v/>
      </c>
      <c r="D731" s="40" t="str">
        <f>IF(Summary!L732&lt;&gt;"",Summary!L732,"")</f>
        <v/>
      </c>
      <c r="E731" s="40" t="str">
        <f>IF(Summary!M732&lt;&gt;"",Summary!M732,"")</f>
        <v/>
      </c>
      <c r="F731" s="20" t="str">
        <f>IF(Summary!N732&lt;&gt;"",Summary!N732,"")</f>
        <v/>
      </c>
      <c r="G731" s="20" t="str">
        <f>IF(Summary!O732&lt;&gt;"",Summary!O732,"")</f>
        <v/>
      </c>
    </row>
    <row r="732" spans="1:7">
      <c r="A732" s="39" t="str">
        <f>IF(Summary!A733&lt;&gt;"",Summary!A733,"")</f>
        <v/>
      </c>
      <c r="B732" s="21" t="str">
        <f>IF(Summary!J733&lt;&gt;"",Summary!J733,"")</f>
        <v/>
      </c>
      <c r="C732" s="44" t="str">
        <f>IF(Summary!E733+Summary!H733&gt;0,Summary!E733+Summary!H733,"")</f>
        <v/>
      </c>
      <c r="D732" s="40" t="str">
        <f>IF(Summary!L733&lt;&gt;"",Summary!L733,"")</f>
        <v/>
      </c>
      <c r="E732" s="40" t="str">
        <f>IF(Summary!M733&lt;&gt;"",Summary!M733,"")</f>
        <v/>
      </c>
      <c r="F732" s="20" t="str">
        <f>IF(Summary!N733&lt;&gt;"",Summary!N733,"")</f>
        <v/>
      </c>
      <c r="G732" s="20" t="str">
        <f>IF(Summary!O733&lt;&gt;"",Summary!O733,"")</f>
        <v/>
      </c>
    </row>
    <row r="733" spans="1:7">
      <c r="A733" s="39" t="str">
        <f>IF(Summary!A734&lt;&gt;"",Summary!A734,"")</f>
        <v/>
      </c>
      <c r="B733" s="21" t="str">
        <f>IF(Summary!J734&lt;&gt;"",Summary!J734,"")</f>
        <v/>
      </c>
      <c r="C733" s="44" t="str">
        <f>IF(Summary!E734+Summary!H734&gt;0,Summary!E734+Summary!H734,"")</f>
        <v/>
      </c>
      <c r="D733" s="40" t="str">
        <f>IF(Summary!L734&lt;&gt;"",Summary!L734,"")</f>
        <v/>
      </c>
      <c r="E733" s="40" t="str">
        <f>IF(Summary!M734&lt;&gt;"",Summary!M734,"")</f>
        <v/>
      </c>
      <c r="F733" s="20" t="str">
        <f>IF(Summary!N734&lt;&gt;"",Summary!N734,"")</f>
        <v/>
      </c>
      <c r="G733" s="20" t="str">
        <f>IF(Summary!O734&lt;&gt;"",Summary!O734,"")</f>
        <v/>
      </c>
    </row>
    <row r="734" spans="1:7">
      <c r="A734" s="39" t="str">
        <f>IF(Summary!A735&lt;&gt;"",Summary!A735,"")</f>
        <v/>
      </c>
      <c r="B734" s="21" t="str">
        <f>IF(Summary!J735&lt;&gt;"",Summary!J735,"")</f>
        <v/>
      </c>
      <c r="C734" s="44" t="str">
        <f>IF(Summary!E735+Summary!H735&gt;0,Summary!E735+Summary!H735,"")</f>
        <v/>
      </c>
      <c r="D734" s="40" t="str">
        <f>IF(Summary!L735&lt;&gt;"",Summary!L735,"")</f>
        <v/>
      </c>
      <c r="E734" s="40" t="str">
        <f>IF(Summary!M735&lt;&gt;"",Summary!M735,"")</f>
        <v/>
      </c>
      <c r="F734" s="20" t="str">
        <f>IF(Summary!N735&lt;&gt;"",Summary!N735,"")</f>
        <v/>
      </c>
      <c r="G734" s="20" t="str">
        <f>IF(Summary!O735&lt;&gt;"",Summary!O735,"")</f>
        <v/>
      </c>
    </row>
    <row r="735" spans="1:7">
      <c r="A735" s="39" t="str">
        <f>IF(Summary!A736&lt;&gt;"",Summary!A736,"")</f>
        <v/>
      </c>
      <c r="B735" s="21" t="str">
        <f>IF(Summary!J736&lt;&gt;"",Summary!J736,"")</f>
        <v/>
      </c>
      <c r="C735" s="44" t="str">
        <f>IF(Summary!E736+Summary!H736&gt;0,Summary!E736+Summary!H736,"")</f>
        <v/>
      </c>
      <c r="D735" s="40" t="str">
        <f>IF(Summary!L736&lt;&gt;"",Summary!L736,"")</f>
        <v/>
      </c>
      <c r="E735" s="40" t="str">
        <f>IF(Summary!M736&lt;&gt;"",Summary!M736,"")</f>
        <v/>
      </c>
      <c r="F735" s="20" t="str">
        <f>IF(Summary!N736&lt;&gt;"",Summary!N736,"")</f>
        <v/>
      </c>
      <c r="G735" s="20" t="str">
        <f>IF(Summary!O736&lt;&gt;"",Summary!O736,"")</f>
        <v/>
      </c>
    </row>
    <row r="736" spans="1:7">
      <c r="A736" s="39" t="str">
        <f>IF(Summary!A737&lt;&gt;"",Summary!A737,"")</f>
        <v/>
      </c>
      <c r="B736" s="21" t="str">
        <f>IF(Summary!J737&lt;&gt;"",Summary!J737,"")</f>
        <v/>
      </c>
      <c r="C736" s="44" t="str">
        <f>IF(Summary!E737+Summary!H737&gt;0,Summary!E737+Summary!H737,"")</f>
        <v/>
      </c>
      <c r="D736" s="40" t="str">
        <f>IF(Summary!L737&lt;&gt;"",Summary!L737,"")</f>
        <v/>
      </c>
      <c r="E736" s="40" t="str">
        <f>IF(Summary!M737&lt;&gt;"",Summary!M737,"")</f>
        <v/>
      </c>
      <c r="F736" s="20" t="str">
        <f>IF(Summary!N737&lt;&gt;"",Summary!N737,"")</f>
        <v/>
      </c>
      <c r="G736" s="20" t="str">
        <f>IF(Summary!O737&lt;&gt;"",Summary!O737,"")</f>
        <v/>
      </c>
    </row>
    <row r="737" spans="1:7">
      <c r="A737" s="39" t="str">
        <f>IF(Summary!A738&lt;&gt;"",Summary!A738,"")</f>
        <v/>
      </c>
      <c r="B737" s="21" t="str">
        <f>IF(Summary!J738&lt;&gt;"",Summary!J738,"")</f>
        <v/>
      </c>
      <c r="C737" s="44" t="str">
        <f>IF(Summary!E738+Summary!H738&gt;0,Summary!E738+Summary!H738,"")</f>
        <v/>
      </c>
      <c r="D737" s="40" t="str">
        <f>IF(Summary!L738&lt;&gt;"",Summary!L738,"")</f>
        <v/>
      </c>
      <c r="E737" s="40" t="str">
        <f>IF(Summary!M738&lt;&gt;"",Summary!M738,"")</f>
        <v/>
      </c>
      <c r="F737" s="20" t="str">
        <f>IF(Summary!N738&lt;&gt;"",Summary!N738,"")</f>
        <v/>
      </c>
      <c r="G737" s="20" t="str">
        <f>IF(Summary!O738&lt;&gt;"",Summary!O738,"")</f>
        <v/>
      </c>
    </row>
    <row r="738" spans="1:7">
      <c r="A738" s="39" t="str">
        <f>IF(Summary!A739&lt;&gt;"",Summary!A739,"")</f>
        <v/>
      </c>
      <c r="B738" s="21" t="str">
        <f>IF(Summary!J739&lt;&gt;"",Summary!J739,"")</f>
        <v/>
      </c>
      <c r="C738" s="44" t="str">
        <f>IF(Summary!E739+Summary!H739&gt;0,Summary!E739+Summary!H739,"")</f>
        <v/>
      </c>
      <c r="D738" s="40" t="str">
        <f>IF(Summary!L739&lt;&gt;"",Summary!L739,"")</f>
        <v/>
      </c>
      <c r="E738" s="40" t="str">
        <f>IF(Summary!M739&lt;&gt;"",Summary!M739,"")</f>
        <v/>
      </c>
      <c r="F738" s="20" t="str">
        <f>IF(Summary!N739&lt;&gt;"",Summary!N739,"")</f>
        <v/>
      </c>
      <c r="G738" s="20" t="str">
        <f>IF(Summary!O739&lt;&gt;"",Summary!O739,"")</f>
        <v/>
      </c>
    </row>
    <row r="739" spans="1:7">
      <c r="A739" s="39" t="str">
        <f>IF(Summary!A740&lt;&gt;"",Summary!A740,"")</f>
        <v/>
      </c>
      <c r="B739" s="21" t="str">
        <f>IF(Summary!J740&lt;&gt;"",Summary!J740,"")</f>
        <v/>
      </c>
      <c r="C739" s="44" t="str">
        <f>IF(Summary!E740+Summary!H740&gt;0,Summary!E740+Summary!H740,"")</f>
        <v/>
      </c>
      <c r="D739" s="40" t="str">
        <f>IF(Summary!L740&lt;&gt;"",Summary!L740,"")</f>
        <v/>
      </c>
      <c r="E739" s="40" t="str">
        <f>IF(Summary!M740&lt;&gt;"",Summary!M740,"")</f>
        <v/>
      </c>
      <c r="F739" s="20" t="str">
        <f>IF(Summary!N740&lt;&gt;"",Summary!N740,"")</f>
        <v/>
      </c>
      <c r="G739" s="20" t="str">
        <f>IF(Summary!O740&lt;&gt;"",Summary!O740,"")</f>
        <v/>
      </c>
    </row>
    <row r="740" spans="1:7">
      <c r="A740" s="39" t="str">
        <f>IF(Summary!A741&lt;&gt;"",Summary!A741,"")</f>
        <v/>
      </c>
      <c r="B740" s="21" t="str">
        <f>IF(Summary!J741&lt;&gt;"",Summary!J741,"")</f>
        <v/>
      </c>
      <c r="C740" s="44" t="str">
        <f>IF(Summary!E741+Summary!H741&gt;0,Summary!E741+Summary!H741,"")</f>
        <v/>
      </c>
      <c r="D740" s="40" t="str">
        <f>IF(Summary!L741&lt;&gt;"",Summary!L741,"")</f>
        <v/>
      </c>
      <c r="E740" s="40" t="str">
        <f>IF(Summary!M741&lt;&gt;"",Summary!M741,"")</f>
        <v/>
      </c>
      <c r="F740" s="20" t="str">
        <f>IF(Summary!N741&lt;&gt;"",Summary!N741,"")</f>
        <v/>
      </c>
      <c r="G740" s="20" t="str">
        <f>IF(Summary!O741&lt;&gt;"",Summary!O741,"")</f>
        <v/>
      </c>
    </row>
    <row r="741" spans="1:7">
      <c r="A741" s="39" t="str">
        <f>IF(Summary!A742&lt;&gt;"",Summary!A742,"")</f>
        <v/>
      </c>
      <c r="B741" s="21" t="str">
        <f>IF(Summary!J742&lt;&gt;"",Summary!J742,"")</f>
        <v/>
      </c>
      <c r="C741" s="44" t="str">
        <f>IF(Summary!E742+Summary!H742&gt;0,Summary!E742+Summary!H742,"")</f>
        <v/>
      </c>
      <c r="D741" s="40" t="str">
        <f>IF(Summary!L742&lt;&gt;"",Summary!L742,"")</f>
        <v/>
      </c>
      <c r="E741" s="40" t="str">
        <f>IF(Summary!M742&lt;&gt;"",Summary!M742,"")</f>
        <v/>
      </c>
      <c r="F741" s="20" t="str">
        <f>IF(Summary!N742&lt;&gt;"",Summary!N742,"")</f>
        <v/>
      </c>
      <c r="G741" s="20" t="str">
        <f>IF(Summary!O742&lt;&gt;"",Summary!O742,"")</f>
        <v/>
      </c>
    </row>
    <row r="742" spans="1:7">
      <c r="A742" s="39" t="str">
        <f>IF(Summary!A743&lt;&gt;"",Summary!A743,"")</f>
        <v/>
      </c>
      <c r="B742" s="21" t="str">
        <f>IF(Summary!J743&lt;&gt;"",Summary!J743,"")</f>
        <v/>
      </c>
      <c r="C742" s="44" t="str">
        <f>IF(Summary!E743+Summary!H743&gt;0,Summary!E743+Summary!H743,"")</f>
        <v/>
      </c>
      <c r="D742" s="40" t="str">
        <f>IF(Summary!L743&lt;&gt;"",Summary!L743,"")</f>
        <v/>
      </c>
      <c r="E742" s="40" t="str">
        <f>IF(Summary!M743&lt;&gt;"",Summary!M743,"")</f>
        <v/>
      </c>
      <c r="F742" s="20" t="str">
        <f>IF(Summary!N743&lt;&gt;"",Summary!N743,"")</f>
        <v/>
      </c>
      <c r="G742" s="20" t="str">
        <f>IF(Summary!O743&lt;&gt;"",Summary!O743,"")</f>
        <v/>
      </c>
    </row>
    <row r="743" spans="1:7">
      <c r="A743" s="39" t="str">
        <f>IF(Summary!A744&lt;&gt;"",Summary!A744,"")</f>
        <v/>
      </c>
      <c r="B743" s="21" t="str">
        <f>IF(Summary!J744&lt;&gt;"",Summary!J744,"")</f>
        <v/>
      </c>
      <c r="C743" s="44" t="str">
        <f>IF(Summary!E744+Summary!H744&gt;0,Summary!E744+Summary!H744,"")</f>
        <v/>
      </c>
      <c r="D743" s="40" t="str">
        <f>IF(Summary!L744&lt;&gt;"",Summary!L744,"")</f>
        <v/>
      </c>
      <c r="E743" s="40" t="str">
        <f>IF(Summary!M744&lt;&gt;"",Summary!M744,"")</f>
        <v/>
      </c>
      <c r="F743" s="20" t="str">
        <f>IF(Summary!N744&lt;&gt;"",Summary!N744,"")</f>
        <v/>
      </c>
      <c r="G743" s="20" t="str">
        <f>IF(Summary!O744&lt;&gt;"",Summary!O744,"")</f>
        <v/>
      </c>
    </row>
    <row r="744" spans="1:7">
      <c r="A744" s="39" t="str">
        <f>IF(Summary!A745&lt;&gt;"",Summary!A745,"")</f>
        <v/>
      </c>
      <c r="B744" s="21" t="str">
        <f>IF(Summary!J745&lt;&gt;"",Summary!J745,"")</f>
        <v/>
      </c>
      <c r="C744" s="44" t="str">
        <f>IF(Summary!E745+Summary!H745&gt;0,Summary!E745+Summary!H745,"")</f>
        <v/>
      </c>
      <c r="D744" s="40" t="str">
        <f>IF(Summary!L745&lt;&gt;"",Summary!L745,"")</f>
        <v/>
      </c>
      <c r="E744" s="40" t="str">
        <f>IF(Summary!M745&lt;&gt;"",Summary!M745,"")</f>
        <v/>
      </c>
      <c r="F744" s="20" t="str">
        <f>IF(Summary!N745&lt;&gt;"",Summary!N745,"")</f>
        <v/>
      </c>
      <c r="G744" s="20" t="str">
        <f>IF(Summary!O745&lt;&gt;"",Summary!O745,"")</f>
        <v/>
      </c>
    </row>
    <row r="745" spans="1:7">
      <c r="A745" s="39" t="str">
        <f>IF(Summary!A746&lt;&gt;"",Summary!A746,"")</f>
        <v/>
      </c>
      <c r="B745" s="21" t="str">
        <f>IF(Summary!J746&lt;&gt;"",Summary!J746,"")</f>
        <v/>
      </c>
      <c r="C745" s="44" t="str">
        <f>IF(Summary!E746+Summary!H746&gt;0,Summary!E746+Summary!H746,"")</f>
        <v/>
      </c>
      <c r="D745" s="40" t="str">
        <f>IF(Summary!L746&lt;&gt;"",Summary!L746,"")</f>
        <v/>
      </c>
      <c r="E745" s="40" t="str">
        <f>IF(Summary!M746&lt;&gt;"",Summary!M746,"")</f>
        <v/>
      </c>
      <c r="F745" s="20" t="str">
        <f>IF(Summary!N746&lt;&gt;"",Summary!N746,"")</f>
        <v/>
      </c>
      <c r="G745" s="20" t="str">
        <f>IF(Summary!O746&lt;&gt;"",Summary!O746,"")</f>
        <v/>
      </c>
    </row>
    <row r="746" spans="1:7">
      <c r="A746" s="39" t="str">
        <f>IF(Summary!A747&lt;&gt;"",Summary!A747,"")</f>
        <v/>
      </c>
      <c r="B746" s="21" t="str">
        <f>IF(Summary!J747&lt;&gt;"",Summary!J747,"")</f>
        <v/>
      </c>
      <c r="C746" s="44" t="str">
        <f>IF(Summary!E747+Summary!H747&gt;0,Summary!E747+Summary!H747,"")</f>
        <v/>
      </c>
      <c r="D746" s="40" t="str">
        <f>IF(Summary!L747&lt;&gt;"",Summary!L747,"")</f>
        <v/>
      </c>
      <c r="E746" s="40" t="str">
        <f>IF(Summary!M747&lt;&gt;"",Summary!M747,"")</f>
        <v/>
      </c>
      <c r="F746" s="20" t="str">
        <f>IF(Summary!N747&lt;&gt;"",Summary!N747,"")</f>
        <v/>
      </c>
      <c r="G746" s="20" t="str">
        <f>IF(Summary!O747&lt;&gt;"",Summary!O747,"")</f>
        <v/>
      </c>
    </row>
    <row r="747" spans="1:7">
      <c r="A747" s="39" t="str">
        <f>IF(Summary!A748&lt;&gt;"",Summary!A748,"")</f>
        <v/>
      </c>
      <c r="B747" s="21" t="str">
        <f>IF(Summary!J748&lt;&gt;"",Summary!J748,"")</f>
        <v/>
      </c>
      <c r="C747" s="44" t="str">
        <f>IF(Summary!E748+Summary!H748&gt;0,Summary!E748+Summary!H748,"")</f>
        <v/>
      </c>
      <c r="D747" s="40" t="str">
        <f>IF(Summary!L748&lt;&gt;"",Summary!L748,"")</f>
        <v/>
      </c>
      <c r="E747" s="40" t="str">
        <f>IF(Summary!M748&lt;&gt;"",Summary!M748,"")</f>
        <v/>
      </c>
      <c r="F747" s="20" t="str">
        <f>IF(Summary!N748&lt;&gt;"",Summary!N748,"")</f>
        <v/>
      </c>
      <c r="G747" s="20" t="str">
        <f>IF(Summary!O748&lt;&gt;"",Summary!O748,"")</f>
        <v/>
      </c>
    </row>
    <row r="748" spans="1:7">
      <c r="A748" s="39" t="str">
        <f>IF(Summary!A749&lt;&gt;"",Summary!A749,"")</f>
        <v/>
      </c>
      <c r="B748" s="21" t="str">
        <f>IF(Summary!J749&lt;&gt;"",Summary!J749,"")</f>
        <v/>
      </c>
      <c r="C748" s="44" t="str">
        <f>IF(Summary!E749+Summary!H749&gt;0,Summary!E749+Summary!H749,"")</f>
        <v/>
      </c>
      <c r="D748" s="40" t="str">
        <f>IF(Summary!L749&lt;&gt;"",Summary!L749,"")</f>
        <v/>
      </c>
      <c r="E748" s="40" t="str">
        <f>IF(Summary!M749&lt;&gt;"",Summary!M749,"")</f>
        <v/>
      </c>
      <c r="F748" s="20" t="str">
        <f>IF(Summary!N749&lt;&gt;"",Summary!N749,"")</f>
        <v/>
      </c>
      <c r="G748" s="20" t="str">
        <f>IF(Summary!O749&lt;&gt;"",Summary!O749,"")</f>
        <v/>
      </c>
    </row>
    <row r="749" spans="1:7">
      <c r="A749" s="39" t="str">
        <f>IF(Summary!A750&lt;&gt;"",Summary!A750,"")</f>
        <v/>
      </c>
      <c r="B749" s="21" t="str">
        <f>IF(Summary!J750&lt;&gt;"",Summary!J750,"")</f>
        <v/>
      </c>
      <c r="C749" s="44" t="str">
        <f>IF(Summary!E750+Summary!H750&gt;0,Summary!E750+Summary!H750,"")</f>
        <v/>
      </c>
      <c r="D749" s="40" t="str">
        <f>IF(Summary!L750&lt;&gt;"",Summary!L750,"")</f>
        <v/>
      </c>
      <c r="E749" s="40" t="str">
        <f>IF(Summary!M750&lt;&gt;"",Summary!M750,"")</f>
        <v/>
      </c>
      <c r="F749" s="20" t="str">
        <f>IF(Summary!N750&lt;&gt;"",Summary!N750,"")</f>
        <v/>
      </c>
      <c r="G749" s="20" t="str">
        <f>IF(Summary!O750&lt;&gt;"",Summary!O750,"")</f>
        <v/>
      </c>
    </row>
    <row r="750" spans="1:7">
      <c r="A750" s="39" t="str">
        <f>IF(Summary!A751&lt;&gt;"",Summary!A751,"")</f>
        <v/>
      </c>
      <c r="B750" s="21" t="str">
        <f>IF(Summary!J751&lt;&gt;"",Summary!J751,"")</f>
        <v/>
      </c>
      <c r="C750" s="44" t="str">
        <f>IF(Summary!E751+Summary!H751&gt;0,Summary!E751+Summary!H751,"")</f>
        <v/>
      </c>
      <c r="D750" s="40" t="str">
        <f>IF(Summary!L751&lt;&gt;"",Summary!L751,"")</f>
        <v/>
      </c>
      <c r="E750" s="40" t="str">
        <f>IF(Summary!M751&lt;&gt;"",Summary!M751,"")</f>
        <v/>
      </c>
      <c r="F750" s="20" t="str">
        <f>IF(Summary!N751&lt;&gt;"",Summary!N751,"")</f>
        <v/>
      </c>
      <c r="G750" s="20" t="str">
        <f>IF(Summary!O751&lt;&gt;"",Summary!O751,"")</f>
        <v/>
      </c>
    </row>
    <row r="751" spans="1:7">
      <c r="A751" s="39" t="str">
        <f>IF(Summary!A752&lt;&gt;"",Summary!A752,"")</f>
        <v/>
      </c>
      <c r="B751" s="21" t="str">
        <f>IF(Summary!J752&lt;&gt;"",Summary!J752,"")</f>
        <v/>
      </c>
      <c r="C751" s="44" t="str">
        <f>IF(Summary!E752+Summary!H752&gt;0,Summary!E752+Summary!H752,"")</f>
        <v/>
      </c>
      <c r="D751" s="40" t="str">
        <f>IF(Summary!L752&lt;&gt;"",Summary!L752,"")</f>
        <v/>
      </c>
      <c r="E751" s="40" t="str">
        <f>IF(Summary!M752&lt;&gt;"",Summary!M752,"")</f>
        <v/>
      </c>
      <c r="F751" s="20" t="str">
        <f>IF(Summary!N752&lt;&gt;"",Summary!N752,"")</f>
        <v/>
      </c>
      <c r="G751" s="20" t="str">
        <f>IF(Summary!O752&lt;&gt;"",Summary!O752,"")</f>
        <v/>
      </c>
    </row>
    <row r="752" spans="1:7">
      <c r="A752" s="39" t="str">
        <f>IF(Summary!A753&lt;&gt;"",Summary!A753,"")</f>
        <v/>
      </c>
      <c r="B752" s="21" t="str">
        <f>IF(Summary!J753&lt;&gt;"",Summary!J753,"")</f>
        <v/>
      </c>
      <c r="C752" s="44" t="str">
        <f>IF(Summary!E753+Summary!H753&gt;0,Summary!E753+Summary!H753,"")</f>
        <v/>
      </c>
      <c r="D752" s="40" t="str">
        <f>IF(Summary!L753&lt;&gt;"",Summary!L753,"")</f>
        <v/>
      </c>
      <c r="E752" s="40" t="str">
        <f>IF(Summary!M753&lt;&gt;"",Summary!M753,"")</f>
        <v/>
      </c>
      <c r="F752" s="20" t="str">
        <f>IF(Summary!N753&lt;&gt;"",Summary!N753,"")</f>
        <v/>
      </c>
      <c r="G752" s="20" t="str">
        <f>IF(Summary!O753&lt;&gt;"",Summary!O753,"")</f>
        <v/>
      </c>
    </row>
    <row r="753" spans="1:7">
      <c r="A753" s="39" t="str">
        <f>IF(Summary!A754&lt;&gt;"",Summary!A754,"")</f>
        <v/>
      </c>
      <c r="B753" s="21" t="str">
        <f>IF(Summary!J754&lt;&gt;"",Summary!J754,"")</f>
        <v/>
      </c>
      <c r="C753" s="44" t="str">
        <f>IF(Summary!E754+Summary!H754&gt;0,Summary!E754+Summary!H754,"")</f>
        <v/>
      </c>
      <c r="D753" s="40" t="str">
        <f>IF(Summary!L754&lt;&gt;"",Summary!L754,"")</f>
        <v/>
      </c>
      <c r="E753" s="40" t="str">
        <f>IF(Summary!M754&lt;&gt;"",Summary!M754,"")</f>
        <v/>
      </c>
      <c r="F753" s="20" t="str">
        <f>IF(Summary!N754&lt;&gt;"",Summary!N754,"")</f>
        <v/>
      </c>
      <c r="G753" s="20" t="str">
        <f>IF(Summary!O754&lt;&gt;"",Summary!O754,"")</f>
        <v/>
      </c>
    </row>
    <row r="754" spans="1:7">
      <c r="A754" s="39" t="str">
        <f>IF(Summary!A755&lt;&gt;"",Summary!A755,"")</f>
        <v/>
      </c>
      <c r="B754" s="21" t="str">
        <f>IF(Summary!J755&lt;&gt;"",Summary!J755,"")</f>
        <v/>
      </c>
      <c r="C754" s="44" t="str">
        <f>IF(Summary!E755+Summary!H755&gt;0,Summary!E755+Summary!H755,"")</f>
        <v/>
      </c>
      <c r="D754" s="40" t="str">
        <f>IF(Summary!L755&lt;&gt;"",Summary!L755,"")</f>
        <v/>
      </c>
      <c r="E754" s="40" t="str">
        <f>IF(Summary!M755&lt;&gt;"",Summary!M755,"")</f>
        <v/>
      </c>
      <c r="F754" s="20" t="str">
        <f>IF(Summary!N755&lt;&gt;"",Summary!N755,"")</f>
        <v/>
      </c>
      <c r="G754" s="20" t="str">
        <f>IF(Summary!O755&lt;&gt;"",Summary!O755,"")</f>
        <v/>
      </c>
    </row>
    <row r="755" spans="1:7">
      <c r="A755" s="39" t="str">
        <f>IF(Summary!A756&lt;&gt;"",Summary!A756,"")</f>
        <v/>
      </c>
      <c r="B755" s="21" t="str">
        <f>IF(Summary!J756&lt;&gt;"",Summary!J756,"")</f>
        <v/>
      </c>
      <c r="C755" s="44" t="str">
        <f>IF(Summary!E756+Summary!H756&gt;0,Summary!E756+Summary!H756,"")</f>
        <v/>
      </c>
      <c r="D755" s="40" t="str">
        <f>IF(Summary!L756&lt;&gt;"",Summary!L756,"")</f>
        <v/>
      </c>
      <c r="E755" s="40" t="str">
        <f>IF(Summary!M756&lt;&gt;"",Summary!M756,"")</f>
        <v/>
      </c>
      <c r="F755" s="20" t="str">
        <f>IF(Summary!N756&lt;&gt;"",Summary!N756,"")</f>
        <v/>
      </c>
      <c r="G755" s="20" t="str">
        <f>IF(Summary!O756&lt;&gt;"",Summary!O756,"")</f>
        <v/>
      </c>
    </row>
    <row r="756" spans="1:7">
      <c r="A756" s="39" t="str">
        <f>IF(Summary!A757&lt;&gt;"",Summary!A757,"")</f>
        <v/>
      </c>
      <c r="B756" s="21" t="str">
        <f>IF(Summary!J757&lt;&gt;"",Summary!J757,"")</f>
        <v/>
      </c>
      <c r="C756" s="44" t="str">
        <f>IF(Summary!E757+Summary!H757&gt;0,Summary!E757+Summary!H757,"")</f>
        <v/>
      </c>
      <c r="D756" s="40" t="str">
        <f>IF(Summary!L757&lt;&gt;"",Summary!L757,"")</f>
        <v/>
      </c>
      <c r="E756" s="40" t="str">
        <f>IF(Summary!M757&lt;&gt;"",Summary!M757,"")</f>
        <v/>
      </c>
      <c r="F756" s="20" t="str">
        <f>IF(Summary!N757&lt;&gt;"",Summary!N757,"")</f>
        <v/>
      </c>
      <c r="G756" s="20" t="str">
        <f>IF(Summary!O757&lt;&gt;"",Summary!O757,"")</f>
        <v/>
      </c>
    </row>
    <row r="757" spans="1:7">
      <c r="A757" s="39" t="str">
        <f>IF(Summary!A758&lt;&gt;"",Summary!A758,"")</f>
        <v/>
      </c>
      <c r="B757" s="21" t="str">
        <f>IF(Summary!J758&lt;&gt;"",Summary!J758,"")</f>
        <v/>
      </c>
      <c r="C757" s="44" t="str">
        <f>IF(Summary!E758+Summary!H758&gt;0,Summary!E758+Summary!H758,"")</f>
        <v/>
      </c>
      <c r="D757" s="40" t="str">
        <f>IF(Summary!L758&lt;&gt;"",Summary!L758,"")</f>
        <v/>
      </c>
      <c r="E757" s="40" t="str">
        <f>IF(Summary!M758&lt;&gt;"",Summary!M758,"")</f>
        <v/>
      </c>
      <c r="F757" s="20" t="str">
        <f>IF(Summary!N758&lt;&gt;"",Summary!N758,"")</f>
        <v/>
      </c>
      <c r="G757" s="20" t="str">
        <f>IF(Summary!O758&lt;&gt;"",Summary!O758,"")</f>
        <v/>
      </c>
    </row>
    <row r="758" spans="1:7">
      <c r="A758" s="39" t="str">
        <f>IF(Summary!A759&lt;&gt;"",Summary!A759,"")</f>
        <v/>
      </c>
      <c r="B758" s="21" t="str">
        <f>IF(Summary!J759&lt;&gt;"",Summary!J759,"")</f>
        <v/>
      </c>
      <c r="C758" s="44" t="str">
        <f>IF(Summary!E759+Summary!H759&gt;0,Summary!E759+Summary!H759,"")</f>
        <v/>
      </c>
      <c r="D758" s="40" t="str">
        <f>IF(Summary!L759&lt;&gt;"",Summary!L759,"")</f>
        <v/>
      </c>
      <c r="E758" s="40" t="str">
        <f>IF(Summary!M759&lt;&gt;"",Summary!M759,"")</f>
        <v/>
      </c>
      <c r="F758" s="20" t="str">
        <f>IF(Summary!N759&lt;&gt;"",Summary!N759,"")</f>
        <v/>
      </c>
      <c r="G758" s="20" t="str">
        <f>IF(Summary!O759&lt;&gt;"",Summary!O759,"")</f>
        <v/>
      </c>
    </row>
    <row r="759" spans="1:7">
      <c r="A759" s="39" t="str">
        <f>IF(Summary!A760&lt;&gt;"",Summary!A760,"")</f>
        <v/>
      </c>
      <c r="B759" s="21" t="str">
        <f>IF(Summary!J760&lt;&gt;"",Summary!J760,"")</f>
        <v/>
      </c>
      <c r="C759" s="44" t="str">
        <f>IF(Summary!E760+Summary!H760&gt;0,Summary!E760+Summary!H760,"")</f>
        <v/>
      </c>
      <c r="D759" s="40" t="str">
        <f>IF(Summary!L760&lt;&gt;"",Summary!L760,"")</f>
        <v/>
      </c>
      <c r="E759" s="40" t="str">
        <f>IF(Summary!M760&lt;&gt;"",Summary!M760,"")</f>
        <v/>
      </c>
      <c r="F759" s="20" t="str">
        <f>IF(Summary!N760&lt;&gt;"",Summary!N760,"")</f>
        <v/>
      </c>
      <c r="G759" s="20" t="str">
        <f>IF(Summary!O760&lt;&gt;"",Summary!O760,"")</f>
        <v/>
      </c>
    </row>
    <row r="760" spans="1:7">
      <c r="A760" s="39" t="str">
        <f>IF(Summary!A761&lt;&gt;"",Summary!A761,"")</f>
        <v/>
      </c>
      <c r="B760" s="21" t="str">
        <f>IF(Summary!J761&lt;&gt;"",Summary!J761,"")</f>
        <v/>
      </c>
      <c r="C760" s="44" t="str">
        <f>IF(Summary!E761+Summary!H761&gt;0,Summary!E761+Summary!H761,"")</f>
        <v/>
      </c>
      <c r="D760" s="40" t="str">
        <f>IF(Summary!L761&lt;&gt;"",Summary!L761,"")</f>
        <v/>
      </c>
      <c r="E760" s="40" t="str">
        <f>IF(Summary!M761&lt;&gt;"",Summary!M761,"")</f>
        <v/>
      </c>
      <c r="F760" s="20" t="str">
        <f>IF(Summary!N761&lt;&gt;"",Summary!N761,"")</f>
        <v/>
      </c>
      <c r="G760" s="20" t="str">
        <f>IF(Summary!O761&lt;&gt;"",Summary!O761,"")</f>
        <v/>
      </c>
    </row>
    <row r="761" spans="1:7">
      <c r="A761" s="39" t="str">
        <f>IF(Summary!A762&lt;&gt;"",Summary!A762,"")</f>
        <v/>
      </c>
      <c r="B761" s="21" t="str">
        <f>IF(Summary!J762&lt;&gt;"",Summary!J762,"")</f>
        <v/>
      </c>
      <c r="C761" s="44" t="str">
        <f>IF(Summary!E762+Summary!H762&gt;0,Summary!E762+Summary!H762,"")</f>
        <v/>
      </c>
      <c r="D761" s="40" t="str">
        <f>IF(Summary!L762&lt;&gt;"",Summary!L762,"")</f>
        <v/>
      </c>
      <c r="E761" s="40" t="str">
        <f>IF(Summary!M762&lt;&gt;"",Summary!M762,"")</f>
        <v/>
      </c>
      <c r="F761" s="20" t="str">
        <f>IF(Summary!N762&lt;&gt;"",Summary!N762,"")</f>
        <v/>
      </c>
      <c r="G761" s="20" t="str">
        <f>IF(Summary!O762&lt;&gt;"",Summary!O762,"")</f>
        <v/>
      </c>
    </row>
    <row r="762" spans="1:7">
      <c r="A762" s="39" t="str">
        <f>IF(Summary!A763&lt;&gt;"",Summary!A763,"")</f>
        <v/>
      </c>
      <c r="B762" s="21" t="str">
        <f>IF(Summary!J763&lt;&gt;"",Summary!J763,"")</f>
        <v/>
      </c>
      <c r="C762" s="44" t="str">
        <f>IF(Summary!E763+Summary!H763&gt;0,Summary!E763+Summary!H763,"")</f>
        <v/>
      </c>
      <c r="D762" s="40" t="str">
        <f>IF(Summary!L763&lt;&gt;"",Summary!L763,"")</f>
        <v/>
      </c>
      <c r="E762" s="40" t="str">
        <f>IF(Summary!M763&lt;&gt;"",Summary!M763,"")</f>
        <v/>
      </c>
      <c r="F762" s="20" t="str">
        <f>IF(Summary!N763&lt;&gt;"",Summary!N763,"")</f>
        <v/>
      </c>
      <c r="G762" s="20" t="str">
        <f>IF(Summary!O763&lt;&gt;"",Summary!O763,"")</f>
        <v/>
      </c>
    </row>
    <row r="763" spans="1:7">
      <c r="A763" s="39" t="str">
        <f>IF(Summary!A764&lt;&gt;"",Summary!A764,"")</f>
        <v/>
      </c>
      <c r="B763" s="21" t="str">
        <f>IF(Summary!J764&lt;&gt;"",Summary!J764,"")</f>
        <v/>
      </c>
      <c r="C763" s="44" t="str">
        <f>IF(Summary!E764+Summary!H764&gt;0,Summary!E764+Summary!H764,"")</f>
        <v/>
      </c>
      <c r="D763" s="40" t="str">
        <f>IF(Summary!L764&lt;&gt;"",Summary!L764,"")</f>
        <v/>
      </c>
      <c r="E763" s="40" t="str">
        <f>IF(Summary!M764&lt;&gt;"",Summary!M764,"")</f>
        <v/>
      </c>
      <c r="F763" s="20" t="str">
        <f>IF(Summary!N764&lt;&gt;"",Summary!N764,"")</f>
        <v/>
      </c>
      <c r="G763" s="20" t="str">
        <f>IF(Summary!O764&lt;&gt;"",Summary!O764,"")</f>
        <v/>
      </c>
    </row>
    <row r="764" spans="1:7">
      <c r="A764" s="39" t="str">
        <f>IF(Summary!A765&lt;&gt;"",Summary!A765,"")</f>
        <v/>
      </c>
      <c r="B764" s="21" t="str">
        <f>IF(Summary!J765&lt;&gt;"",Summary!J765,"")</f>
        <v/>
      </c>
      <c r="C764" s="44" t="str">
        <f>IF(Summary!E765+Summary!H765&gt;0,Summary!E765+Summary!H765,"")</f>
        <v/>
      </c>
      <c r="D764" s="40" t="str">
        <f>IF(Summary!L765&lt;&gt;"",Summary!L765,"")</f>
        <v/>
      </c>
      <c r="E764" s="40" t="str">
        <f>IF(Summary!M765&lt;&gt;"",Summary!M765,"")</f>
        <v/>
      </c>
      <c r="F764" s="20" t="str">
        <f>IF(Summary!N765&lt;&gt;"",Summary!N765,"")</f>
        <v/>
      </c>
      <c r="G764" s="20" t="str">
        <f>IF(Summary!O765&lt;&gt;"",Summary!O765,"")</f>
        <v/>
      </c>
    </row>
    <row r="765" spans="1:7">
      <c r="A765" s="39" t="str">
        <f>IF(Summary!A766&lt;&gt;"",Summary!A766,"")</f>
        <v/>
      </c>
      <c r="B765" s="21" t="str">
        <f>IF(Summary!J766&lt;&gt;"",Summary!J766,"")</f>
        <v/>
      </c>
      <c r="C765" s="44" t="str">
        <f>IF(Summary!E766+Summary!H766&gt;0,Summary!E766+Summary!H766,"")</f>
        <v/>
      </c>
      <c r="D765" s="40" t="str">
        <f>IF(Summary!L766&lt;&gt;"",Summary!L766,"")</f>
        <v/>
      </c>
      <c r="E765" s="40" t="str">
        <f>IF(Summary!M766&lt;&gt;"",Summary!M766,"")</f>
        <v/>
      </c>
      <c r="F765" s="20" t="str">
        <f>IF(Summary!N766&lt;&gt;"",Summary!N766,"")</f>
        <v/>
      </c>
      <c r="G765" s="20" t="str">
        <f>IF(Summary!O766&lt;&gt;"",Summary!O766,"")</f>
        <v/>
      </c>
    </row>
    <row r="766" spans="1:7">
      <c r="A766" s="39" t="str">
        <f>IF(Summary!A767&lt;&gt;"",Summary!A767,"")</f>
        <v/>
      </c>
      <c r="B766" s="21" t="str">
        <f>IF(Summary!J767&lt;&gt;"",Summary!J767,"")</f>
        <v/>
      </c>
      <c r="C766" s="44" t="str">
        <f>IF(Summary!E767+Summary!H767&gt;0,Summary!E767+Summary!H767,"")</f>
        <v/>
      </c>
      <c r="D766" s="40" t="str">
        <f>IF(Summary!L767&lt;&gt;"",Summary!L767,"")</f>
        <v/>
      </c>
      <c r="E766" s="40" t="str">
        <f>IF(Summary!M767&lt;&gt;"",Summary!M767,"")</f>
        <v/>
      </c>
      <c r="F766" s="20" t="str">
        <f>IF(Summary!N767&lt;&gt;"",Summary!N767,"")</f>
        <v/>
      </c>
      <c r="G766" s="20" t="str">
        <f>IF(Summary!O767&lt;&gt;"",Summary!O767,"")</f>
        <v/>
      </c>
    </row>
    <row r="767" spans="1:7">
      <c r="A767" s="39" t="str">
        <f>IF(Summary!A768&lt;&gt;"",Summary!A768,"")</f>
        <v/>
      </c>
      <c r="B767" s="21" t="str">
        <f>IF(Summary!J768&lt;&gt;"",Summary!J768,"")</f>
        <v/>
      </c>
      <c r="C767" s="44" t="str">
        <f>IF(Summary!E768+Summary!H768&gt;0,Summary!E768+Summary!H768,"")</f>
        <v/>
      </c>
      <c r="D767" s="40" t="str">
        <f>IF(Summary!L768&lt;&gt;"",Summary!L768,"")</f>
        <v/>
      </c>
      <c r="E767" s="40" t="str">
        <f>IF(Summary!M768&lt;&gt;"",Summary!M768,"")</f>
        <v/>
      </c>
      <c r="F767" s="20" t="str">
        <f>IF(Summary!N768&lt;&gt;"",Summary!N768,"")</f>
        <v/>
      </c>
      <c r="G767" s="20" t="str">
        <f>IF(Summary!O768&lt;&gt;"",Summary!O768,"")</f>
        <v/>
      </c>
    </row>
    <row r="768" spans="1:7">
      <c r="A768" s="39" t="str">
        <f>IF(Summary!A769&lt;&gt;"",Summary!A769,"")</f>
        <v/>
      </c>
      <c r="B768" s="21" t="str">
        <f>IF(Summary!J769&lt;&gt;"",Summary!J769,"")</f>
        <v/>
      </c>
      <c r="C768" s="44" t="str">
        <f>IF(Summary!E769+Summary!H769&gt;0,Summary!E769+Summary!H769,"")</f>
        <v/>
      </c>
      <c r="D768" s="40" t="str">
        <f>IF(Summary!L769&lt;&gt;"",Summary!L769,"")</f>
        <v/>
      </c>
      <c r="E768" s="40" t="str">
        <f>IF(Summary!M769&lt;&gt;"",Summary!M769,"")</f>
        <v/>
      </c>
      <c r="F768" s="20" t="str">
        <f>IF(Summary!N769&lt;&gt;"",Summary!N769,"")</f>
        <v/>
      </c>
      <c r="G768" s="20" t="str">
        <f>IF(Summary!O769&lt;&gt;"",Summary!O769,"")</f>
        <v/>
      </c>
    </row>
    <row r="769" spans="1:7">
      <c r="A769" s="39" t="str">
        <f>IF(Summary!A770&lt;&gt;"",Summary!A770,"")</f>
        <v/>
      </c>
      <c r="B769" s="21" t="str">
        <f>IF(Summary!J770&lt;&gt;"",Summary!J770,"")</f>
        <v/>
      </c>
      <c r="C769" s="44" t="str">
        <f>IF(Summary!E770+Summary!H770&gt;0,Summary!E770+Summary!H770,"")</f>
        <v/>
      </c>
      <c r="D769" s="40" t="str">
        <f>IF(Summary!L770&lt;&gt;"",Summary!L770,"")</f>
        <v/>
      </c>
      <c r="E769" s="40" t="str">
        <f>IF(Summary!M770&lt;&gt;"",Summary!M770,"")</f>
        <v/>
      </c>
      <c r="F769" s="20" t="str">
        <f>IF(Summary!N770&lt;&gt;"",Summary!N770,"")</f>
        <v/>
      </c>
      <c r="G769" s="20" t="str">
        <f>IF(Summary!O770&lt;&gt;"",Summary!O770,"")</f>
        <v/>
      </c>
    </row>
    <row r="770" spans="1:7">
      <c r="A770" s="39" t="str">
        <f>IF(Summary!A771&lt;&gt;"",Summary!A771,"")</f>
        <v/>
      </c>
      <c r="B770" s="21" t="str">
        <f>IF(Summary!J771&lt;&gt;"",Summary!J771,"")</f>
        <v/>
      </c>
      <c r="C770" s="44" t="str">
        <f>IF(Summary!E771+Summary!H771&gt;0,Summary!E771+Summary!H771,"")</f>
        <v/>
      </c>
      <c r="D770" s="40" t="str">
        <f>IF(Summary!L771&lt;&gt;"",Summary!L771,"")</f>
        <v/>
      </c>
      <c r="E770" s="40" t="str">
        <f>IF(Summary!M771&lt;&gt;"",Summary!M771,"")</f>
        <v/>
      </c>
      <c r="F770" s="20" t="str">
        <f>IF(Summary!N771&lt;&gt;"",Summary!N771,"")</f>
        <v/>
      </c>
      <c r="G770" s="20" t="str">
        <f>IF(Summary!O771&lt;&gt;"",Summary!O771,"")</f>
        <v/>
      </c>
    </row>
    <row r="771" spans="1:7">
      <c r="A771" s="39" t="str">
        <f>IF(Summary!A772&lt;&gt;"",Summary!A772,"")</f>
        <v/>
      </c>
      <c r="B771" s="21" t="str">
        <f>IF(Summary!J772&lt;&gt;"",Summary!J772,"")</f>
        <v/>
      </c>
      <c r="C771" s="44" t="str">
        <f>IF(Summary!E772+Summary!H772&gt;0,Summary!E772+Summary!H772,"")</f>
        <v/>
      </c>
      <c r="D771" s="40" t="str">
        <f>IF(Summary!L772&lt;&gt;"",Summary!L772,"")</f>
        <v/>
      </c>
      <c r="E771" s="40" t="str">
        <f>IF(Summary!M772&lt;&gt;"",Summary!M772,"")</f>
        <v/>
      </c>
      <c r="F771" s="20" t="str">
        <f>IF(Summary!N772&lt;&gt;"",Summary!N772,"")</f>
        <v/>
      </c>
      <c r="G771" s="20" t="str">
        <f>IF(Summary!O772&lt;&gt;"",Summary!O772,"")</f>
        <v/>
      </c>
    </row>
    <row r="772" spans="1:7">
      <c r="A772" s="39" t="str">
        <f>IF(Summary!A773&lt;&gt;"",Summary!A773,"")</f>
        <v/>
      </c>
      <c r="B772" s="21" t="str">
        <f>IF(Summary!J773&lt;&gt;"",Summary!J773,"")</f>
        <v/>
      </c>
      <c r="C772" s="44" t="str">
        <f>IF(Summary!E773+Summary!H773&gt;0,Summary!E773+Summary!H773,"")</f>
        <v/>
      </c>
      <c r="D772" s="40" t="str">
        <f>IF(Summary!L773&lt;&gt;"",Summary!L773,"")</f>
        <v/>
      </c>
      <c r="E772" s="40" t="str">
        <f>IF(Summary!M773&lt;&gt;"",Summary!M773,"")</f>
        <v/>
      </c>
      <c r="F772" s="20" t="str">
        <f>IF(Summary!N773&lt;&gt;"",Summary!N773,"")</f>
        <v/>
      </c>
      <c r="G772" s="20" t="str">
        <f>IF(Summary!O773&lt;&gt;"",Summary!O773,"")</f>
        <v/>
      </c>
    </row>
    <row r="773" spans="1:7">
      <c r="A773" s="39" t="str">
        <f>IF(Summary!A774&lt;&gt;"",Summary!A774,"")</f>
        <v/>
      </c>
      <c r="B773" s="21" t="str">
        <f>IF(Summary!J774&lt;&gt;"",Summary!J774,"")</f>
        <v/>
      </c>
      <c r="C773" s="44" t="str">
        <f>IF(Summary!E774+Summary!H774&gt;0,Summary!E774+Summary!H774,"")</f>
        <v/>
      </c>
      <c r="D773" s="40" t="str">
        <f>IF(Summary!L774&lt;&gt;"",Summary!L774,"")</f>
        <v/>
      </c>
      <c r="E773" s="40" t="str">
        <f>IF(Summary!M774&lt;&gt;"",Summary!M774,"")</f>
        <v/>
      </c>
      <c r="F773" s="20" t="str">
        <f>IF(Summary!N774&lt;&gt;"",Summary!N774,"")</f>
        <v/>
      </c>
      <c r="G773" s="20" t="str">
        <f>IF(Summary!O774&lt;&gt;"",Summary!O774,"")</f>
        <v/>
      </c>
    </row>
    <row r="774" spans="1:7">
      <c r="A774" s="39" t="str">
        <f>IF(Summary!A775&lt;&gt;"",Summary!A775,"")</f>
        <v/>
      </c>
      <c r="B774" s="21" t="str">
        <f>IF(Summary!J775&lt;&gt;"",Summary!J775,"")</f>
        <v/>
      </c>
      <c r="C774" s="44" t="str">
        <f>IF(Summary!E775+Summary!H775&gt;0,Summary!E775+Summary!H775,"")</f>
        <v/>
      </c>
      <c r="D774" s="40" t="str">
        <f>IF(Summary!L775&lt;&gt;"",Summary!L775,"")</f>
        <v/>
      </c>
      <c r="E774" s="40" t="str">
        <f>IF(Summary!M775&lt;&gt;"",Summary!M775,"")</f>
        <v/>
      </c>
      <c r="F774" s="20" t="str">
        <f>IF(Summary!N775&lt;&gt;"",Summary!N775,"")</f>
        <v/>
      </c>
      <c r="G774" s="20" t="str">
        <f>IF(Summary!O775&lt;&gt;"",Summary!O775,"")</f>
        <v/>
      </c>
    </row>
    <row r="775" spans="1:7">
      <c r="A775" s="39" t="str">
        <f>IF(Summary!A776&lt;&gt;"",Summary!A776,"")</f>
        <v/>
      </c>
      <c r="B775" s="21" t="str">
        <f>IF(Summary!J776&lt;&gt;"",Summary!J776,"")</f>
        <v/>
      </c>
      <c r="C775" s="44" t="str">
        <f>IF(Summary!E776+Summary!H776&gt;0,Summary!E776+Summary!H776,"")</f>
        <v/>
      </c>
      <c r="D775" s="40" t="str">
        <f>IF(Summary!L776&lt;&gt;"",Summary!L776,"")</f>
        <v/>
      </c>
      <c r="E775" s="40" t="str">
        <f>IF(Summary!M776&lt;&gt;"",Summary!M776,"")</f>
        <v/>
      </c>
      <c r="F775" s="20" t="str">
        <f>IF(Summary!N776&lt;&gt;"",Summary!N776,"")</f>
        <v/>
      </c>
      <c r="G775" s="20" t="str">
        <f>IF(Summary!O776&lt;&gt;"",Summary!O776,"")</f>
        <v/>
      </c>
    </row>
    <row r="776" spans="1:7">
      <c r="A776" s="39" t="str">
        <f>IF(Summary!A777&lt;&gt;"",Summary!A777,"")</f>
        <v/>
      </c>
      <c r="B776" s="21" t="str">
        <f>IF(Summary!J777&lt;&gt;"",Summary!J777,"")</f>
        <v/>
      </c>
      <c r="C776" s="44" t="str">
        <f>IF(Summary!E777+Summary!H777&gt;0,Summary!E777+Summary!H777,"")</f>
        <v/>
      </c>
      <c r="D776" s="40" t="str">
        <f>IF(Summary!L777&lt;&gt;"",Summary!L777,"")</f>
        <v/>
      </c>
      <c r="E776" s="40" t="str">
        <f>IF(Summary!M777&lt;&gt;"",Summary!M777,"")</f>
        <v/>
      </c>
      <c r="F776" s="20" t="str">
        <f>IF(Summary!N777&lt;&gt;"",Summary!N777,"")</f>
        <v/>
      </c>
      <c r="G776" s="20" t="str">
        <f>IF(Summary!O777&lt;&gt;"",Summary!O777,"")</f>
        <v/>
      </c>
    </row>
    <row r="777" spans="1:7">
      <c r="A777" s="39" t="str">
        <f>IF(Summary!A778&lt;&gt;"",Summary!A778,"")</f>
        <v/>
      </c>
      <c r="B777" s="21" t="str">
        <f>IF(Summary!J778&lt;&gt;"",Summary!J778,"")</f>
        <v/>
      </c>
      <c r="C777" s="44" t="str">
        <f>IF(Summary!E778+Summary!H778&gt;0,Summary!E778+Summary!H778,"")</f>
        <v/>
      </c>
      <c r="D777" s="40" t="str">
        <f>IF(Summary!L778&lt;&gt;"",Summary!L778,"")</f>
        <v/>
      </c>
      <c r="E777" s="40" t="str">
        <f>IF(Summary!M778&lt;&gt;"",Summary!M778,"")</f>
        <v/>
      </c>
      <c r="F777" s="20" t="str">
        <f>IF(Summary!N778&lt;&gt;"",Summary!N778,"")</f>
        <v/>
      </c>
      <c r="G777" s="20" t="str">
        <f>IF(Summary!O778&lt;&gt;"",Summary!O778,"")</f>
        <v/>
      </c>
    </row>
    <row r="778" spans="1:7">
      <c r="A778" s="39" t="str">
        <f>IF(Summary!A779&lt;&gt;"",Summary!A779,"")</f>
        <v/>
      </c>
      <c r="B778" s="21" t="str">
        <f>IF(Summary!J779&lt;&gt;"",Summary!J779,"")</f>
        <v/>
      </c>
      <c r="C778" s="44" t="str">
        <f>IF(Summary!E779+Summary!H779&gt;0,Summary!E779+Summary!H779,"")</f>
        <v/>
      </c>
      <c r="D778" s="40" t="str">
        <f>IF(Summary!L779&lt;&gt;"",Summary!L779,"")</f>
        <v/>
      </c>
      <c r="E778" s="40" t="str">
        <f>IF(Summary!M779&lt;&gt;"",Summary!M779,"")</f>
        <v/>
      </c>
      <c r="F778" s="20" t="str">
        <f>IF(Summary!N779&lt;&gt;"",Summary!N779,"")</f>
        <v/>
      </c>
      <c r="G778" s="20" t="str">
        <f>IF(Summary!O779&lt;&gt;"",Summary!O779,"")</f>
        <v/>
      </c>
    </row>
    <row r="779" spans="1:7">
      <c r="A779" s="39" t="str">
        <f>IF(Summary!A780&lt;&gt;"",Summary!A780,"")</f>
        <v/>
      </c>
      <c r="B779" s="21" t="str">
        <f>IF(Summary!J780&lt;&gt;"",Summary!J780,"")</f>
        <v/>
      </c>
      <c r="C779" s="44" t="str">
        <f>IF(Summary!E780+Summary!H780&gt;0,Summary!E780+Summary!H780,"")</f>
        <v/>
      </c>
      <c r="D779" s="40" t="str">
        <f>IF(Summary!L780&lt;&gt;"",Summary!L780,"")</f>
        <v/>
      </c>
      <c r="E779" s="40" t="str">
        <f>IF(Summary!M780&lt;&gt;"",Summary!M780,"")</f>
        <v/>
      </c>
      <c r="F779" s="20" t="str">
        <f>IF(Summary!N780&lt;&gt;"",Summary!N780,"")</f>
        <v/>
      </c>
      <c r="G779" s="20" t="str">
        <f>IF(Summary!O780&lt;&gt;"",Summary!O780,"")</f>
        <v/>
      </c>
    </row>
    <row r="780" spans="1:7">
      <c r="A780" s="39" t="str">
        <f>IF(Summary!A781&lt;&gt;"",Summary!A781,"")</f>
        <v/>
      </c>
      <c r="B780" s="21" t="str">
        <f>IF(Summary!J781&lt;&gt;"",Summary!J781,"")</f>
        <v/>
      </c>
      <c r="C780" s="44" t="str">
        <f>IF(Summary!E781+Summary!H781&gt;0,Summary!E781+Summary!H781,"")</f>
        <v/>
      </c>
      <c r="D780" s="40" t="str">
        <f>IF(Summary!L781&lt;&gt;"",Summary!L781,"")</f>
        <v/>
      </c>
      <c r="E780" s="40" t="str">
        <f>IF(Summary!M781&lt;&gt;"",Summary!M781,"")</f>
        <v/>
      </c>
      <c r="F780" s="20" t="str">
        <f>IF(Summary!N781&lt;&gt;"",Summary!N781,"")</f>
        <v/>
      </c>
      <c r="G780" s="20" t="str">
        <f>IF(Summary!O781&lt;&gt;"",Summary!O781,"")</f>
        <v/>
      </c>
    </row>
    <row r="781" spans="1:7">
      <c r="A781" s="39" t="str">
        <f>IF(Summary!A782&lt;&gt;"",Summary!A782,"")</f>
        <v/>
      </c>
      <c r="B781" s="21" t="str">
        <f>IF(Summary!J782&lt;&gt;"",Summary!J782,"")</f>
        <v/>
      </c>
      <c r="C781" s="44" t="str">
        <f>IF(Summary!E782+Summary!H782&gt;0,Summary!E782+Summary!H782,"")</f>
        <v/>
      </c>
      <c r="D781" s="40" t="str">
        <f>IF(Summary!L782&lt;&gt;"",Summary!L782,"")</f>
        <v/>
      </c>
      <c r="E781" s="40" t="str">
        <f>IF(Summary!M782&lt;&gt;"",Summary!M782,"")</f>
        <v/>
      </c>
      <c r="F781" s="20" t="str">
        <f>IF(Summary!N782&lt;&gt;"",Summary!N782,"")</f>
        <v/>
      </c>
      <c r="G781" s="20" t="str">
        <f>IF(Summary!O782&lt;&gt;"",Summary!O782,"")</f>
        <v/>
      </c>
    </row>
    <row r="782" spans="1:7">
      <c r="A782" s="39" t="str">
        <f>IF(Summary!A783&lt;&gt;"",Summary!A783,"")</f>
        <v/>
      </c>
      <c r="B782" s="21" t="str">
        <f>IF(Summary!J783&lt;&gt;"",Summary!J783,"")</f>
        <v/>
      </c>
      <c r="C782" s="44" t="str">
        <f>IF(Summary!E783+Summary!H783&gt;0,Summary!E783+Summary!H783,"")</f>
        <v/>
      </c>
      <c r="D782" s="40" t="str">
        <f>IF(Summary!L783&lt;&gt;"",Summary!L783,"")</f>
        <v/>
      </c>
      <c r="E782" s="40" t="str">
        <f>IF(Summary!M783&lt;&gt;"",Summary!M783,"")</f>
        <v/>
      </c>
      <c r="F782" s="20" t="str">
        <f>IF(Summary!N783&lt;&gt;"",Summary!N783,"")</f>
        <v/>
      </c>
      <c r="G782" s="20" t="str">
        <f>IF(Summary!O783&lt;&gt;"",Summary!O783,"")</f>
        <v/>
      </c>
    </row>
    <row r="783" spans="1:7">
      <c r="A783" s="39" t="str">
        <f>IF(Summary!A784&lt;&gt;"",Summary!A784,"")</f>
        <v/>
      </c>
      <c r="B783" s="21" t="str">
        <f>IF(Summary!J784&lt;&gt;"",Summary!J784,"")</f>
        <v/>
      </c>
      <c r="C783" s="44" t="str">
        <f>IF(Summary!E784+Summary!H784&gt;0,Summary!E784+Summary!H784,"")</f>
        <v/>
      </c>
      <c r="D783" s="40" t="str">
        <f>IF(Summary!L784&lt;&gt;"",Summary!L784,"")</f>
        <v/>
      </c>
      <c r="E783" s="40" t="str">
        <f>IF(Summary!M784&lt;&gt;"",Summary!M784,"")</f>
        <v/>
      </c>
      <c r="F783" s="20" t="str">
        <f>IF(Summary!N784&lt;&gt;"",Summary!N784,"")</f>
        <v/>
      </c>
      <c r="G783" s="20" t="str">
        <f>IF(Summary!O784&lt;&gt;"",Summary!O784,"")</f>
        <v/>
      </c>
    </row>
    <row r="784" spans="1:7">
      <c r="A784" s="39" t="str">
        <f>IF(Summary!A785&lt;&gt;"",Summary!A785,"")</f>
        <v/>
      </c>
      <c r="B784" s="21" t="str">
        <f>IF(Summary!J785&lt;&gt;"",Summary!J785,"")</f>
        <v/>
      </c>
      <c r="C784" s="44" t="str">
        <f>IF(Summary!E785+Summary!H785&gt;0,Summary!E785+Summary!H785,"")</f>
        <v/>
      </c>
      <c r="D784" s="40" t="str">
        <f>IF(Summary!L785&lt;&gt;"",Summary!L785,"")</f>
        <v/>
      </c>
      <c r="E784" s="40" t="str">
        <f>IF(Summary!M785&lt;&gt;"",Summary!M785,"")</f>
        <v/>
      </c>
      <c r="F784" s="20" t="str">
        <f>IF(Summary!N785&lt;&gt;"",Summary!N785,"")</f>
        <v/>
      </c>
      <c r="G784" s="20" t="str">
        <f>IF(Summary!O785&lt;&gt;"",Summary!O785,"")</f>
        <v/>
      </c>
    </row>
    <row r="785" spans="1:7">
      <c r="A785" s="39" t="str">
        <f>IF(Summary!A786&lt;&gt;"",Summary!A786,"")</f>
        <v/>
      </c>
      <c r="B785" s="21" t="str">
        <f>IF(Summary!J786&lt;&gt;"",Summary!J786,"")</f>
        <v/>
      </c>
      <c r="C785" s="44" t="str">
        <f>IF(Summary!E786+Summary!H786&gt;0,Summary!E786+Summary!H786,"")</f>
        <v/>
      </c>
      <c r="D785" s="40" t="str">
        <f>IF(Summary!L786&lt;&gt;"",Summary!L786,"")</f>
        <v/>
      </c>
      <c r="E785" s="40" t="str">
        <f>IF(Summary!M786&lt;&gt;"",Summary!M786,"")</f>
        <v/>
      </c>
      <c r="F785" s="20" t="str">
        <f>IF(Summary!N786&lt;&gt;"",Summary!N786,"")</f>
        <v/>
      </c>
      <c r="G785" s="20" t="str">
        <f>IF(Summary!O786&lt;&gt;"",Summary!O786,"")</f>
        <v/>
      </c>
    </row>
    <row r="786" spans="1:7">
      <c r="A786" s="39" t="str">
        <f>IF(Summary!A787&lt;&gt;"",Summary!A787,"")</f>
        <v/>
      </c>
      <c r="B786" s="21" t="str">
        <f>IF(Summary!J787&lt;&gt;"",Summary!J787,"")</f>
        <v/>
      </c>
      <c r="C786" s="44" t="str">
        <f>IF(Summary!E787+Summary!H787&gt;0,Summary!E787+Summary!H787,"")</f>
        <v/>
      </c>
      <c r="D786" s="40" t="str">
        <f>IF(Summary!L787&lt;&gt;"",Summary!L787,"")</f>
        <v/>
      </c>
      <c r="E786" s="40" t="str">
        <f>IF(Summary!M787&lt;&gt;"",Summary!M787,"")</f>
        <v/>
      </c>
      <c r="F786" s="20" t="str">
        <f>IF(Summary!N787&lt;&gt;"",Summary!N787,"")</f>
        <v/>
      </c>
      <c r="G786" s="20" t="str">
        <f>IF(Summary!O787&lt;&gt;"",Summary!O787,"")</f>
        <v/>
      </c>
    </row>
    <row r="787" spans="1:7">
      <c r="A787" s="39" t="str">
        <f>IF(Summary!A788&lt;&gt;"",Summary!A788,"")</f>
        <v/>
      </c>
      <c r="B787" s="21" t="str">
        <f>IF(Summary!J788&lt;&gt;"",Summary!J788,"")</f>
        <v/>
      </c>
      <c r="C787" s="44" t="str">
        <f>IF(Summary!E788+Summary!H788&gt;0,Summary!E788+Summary!H788,"")</f>
        <v/>
      </c>
      <c r="D787" s="40" t="str">
        <f>IF(Summary!L788&lt;&gt;"",Summary!L788,"")</f>
        <v/>
      </c>
      <c r="E787" s="40" t="str">
        <f>IF(Summary!M788&lt;&gt;"",Summary!M788,"")</f>
        <v/>
      </c>
      <c r="F787" s="20" t="str">
        <f>IF(Summary!N788&lt;&gt;"",Summary!N788,"")</f>
        <v/>
      </c>
      <c r="G787" s="20" t="str">
        <f>IF(Summary!O788&lt;&gt;"",Summary!O788,"")</f>
        <v/>
      </c>
    </row>
    <row r="788" spans="1:7">
      <c r="A788" s="39" t="str">
        <f>IF(Summary!A789&lt;&gt;"",Summary!A789,"")</f>
        <v/>
      </c>
      <c r="B788" s="21" t="str">
        <f>IF(Summary!J789&lt;&gt;"",Summary!J789,"")</f>
        <v/>
      </c>
      <c r="C788" s="44" t="str">
        <f>IF(Summary!E789+Summary!H789&gt;0,Summary!E789+Summary!H789,"")</f>
        <v/>
      </c>
      <c r="D788" s="40" t="str">
        <f>IF(Summary!L789&lt;&gt;"",Summary!L789,"")</f>
        <v/>
      </c>
      <c r="E788" s="40" t="str">
        <f>IF(Summary!M789&lt;&gt;"",Summary!M789,"")</f>
        <v/>
      </c>
      <c r="F788" s="20" t="str">
        <f>IF(Summary!N789&lt;&gt;"",Summary!N789,"")</f>
        <v/>
      </c>
      <c r="G788" s="20" t="str">
        <f>IF(Summary!O789&lt;&gt;"",Summary!O789,"")</f>
        <v/>
      </c>
    </row>
    <row r="789" spans="1:7">
      <c r="A789" s="39" t="str">
        <f>IF(Summary!A790&lt;&gt;"",Summary!A790,"")</f>
        <v/>
      </c>
      <c r="B789" s="21" t="str">
        <f>IF(Summary!J790&lt;&gt;"",Summary!J790,"")</f>
        <v/>
      </c>
      <c r="C789" s="44" t="str">
        <f>IF(Summary!E790+Summary!H790&gt;0,Summary!E790+Summary!H790,"")</f>
        <v/>
      </c>
      <c r="D789" s="40" t="str">
        <f>IF(Summary!L790&lt;&gt;"",Summary!L790,"")</f>
        <v/>
      </c>
      <c r="E789" s="40" t="str">
        <f>IF(Summary!M790&lt;&gt;"",Summary!M790,"")</f>
        <v/>
      </c>
      <c r="F789" s="20" t="str">
        <f>IF(Summary!N790&lt;&gt;"",Summary!N790,"")</f>
        <v/>
      </c>
      <c r="G789" s="20" t="str">
        <f>IF(Summary!O790&lt;&gt;"",Summary!O790,"")</f>
        <v/>
      </c>
    </row>
    <row r="790" spans="1:7">
      <c r="A790" s="39" t="str">
        <f>IF(Summary!A791&lt;&gt;"",Summary!A791,"")</f>
        <v/>
      </c>
      <c r="B790" s="21" t="str">
        <f>IF(Summary!J791&lt;&gt;"",Summary!J791,"")</f>
        <v/>
      </c>
      <c r="C790" s="44" t="str">
        <f>IF(Summary!E791+Summary!H791&gt;0,Summary!E791+Summary!H791,"")</f>
        <v/>
      </c>
      <c r="D790" s="40" t="str">
        <f>IF(Summary!L791&lt;&gt;"",Summary!L791,"")</f>
        <v/>
      </c>
      <c r="E790" s="40" t="str">
        <f>IF(Summary!M791&lt;&gt;"",Summary!M791,"")</f>
        <v/>
      </c>
      <c r="F790" s="20" t="str">
        <f>IF(Summary!N791&lt;&gt;"",Summary!N791,"")</f>
        <v/>
      </c>
      <c r="G790" s="20" t="str">
        <f>IF(Summary!O791&lt;&gt;"",Summary!O791,"")</f>
        <v/>
      </c>
    </row>
    <row r="791" spans="1:7">
      <c r="A791" s="39" t="str">
        <f>IF(Summary!A792&lt;&gt;"",Summary!A792,"")</f>
        <v/>
      </c>
      <c r="B791" s="21" t="str">
        <f>IF(Summary!J792&lt;&gt;"",Summary!J792,"")</f>
        <v/>
      </c>
      <c r="C791" s="44" t="str">
        <f>IF(Summary!E792+Summary!H792&gt;0,Summary!E792+Summary!H792,"")</f>
        <v/>
      </c>
      <c r="D791" s="40" t="str">
        <f>IF(Summary!L792&lt;&gt;"",Summary!L792,"")</f>
        <v/>
      </c>
      <c r="E791" s="40" t="str">
        <f>IF(Summary!M792&lt;&gt;"",Summary!M792,"")</f>
        <v/>
      </c>
      <c r="F791" s="20" t="str">
        <f>IF(Summary!N792&lt;&gt;"",Summary!N792,"")</f>
        <v/>
      </c>
      <c r="G791" s="20" t="str">
        <f>IF(Summary!O792&lt;&gt;"",Summary!O792,"")</f>
        <v/>
      </c>
    </row>
    <row r="792" spans="1:7">
      <c r="A792" s="39" t="str">
        <f>IF(Summary!A793&lt;&gt;"",Summary!A793,"")</f>
        <v/>
      </c>
      <c r="B792" s="21" t="str">
        <f>IF(Summary!J793&lt;&gt;"",Summary!J793,"")</f>
        <v/>
      </c>
      <c r="C792" s="44" t="str">
        <f>IF(Summary!E793+Summary!H793&gt;0,Summary!E793+Summary!H793,"")</f>
        <v/>
      </c>
      <c r="D792" s="40" t="str">
        <f>IF(Summary!L793&lt;&gt;"",Summary!L793,"")</f>
        <v/>
      </c>
      <c r="E792" s="40" t="str">
        <f>IF(Summary!M793&lt;&gt;"",Summary!M793,"")</f>
        <v/>
      </c>
      <c r="F792" s="20" t="str">
        <f>IF(Summary!N793&lt;&gt;"",Summary!N793,"")</f>
        <v/>
      </c>
      <c r="G792" s="20" t="str">
        <f>IF(Summary!O793&lt;&gt;"",Summary!O793,"")</f>
        <v/>
      </c>
    </row>
    <row r="793" spans="1:7">
      <c r="A793" s="39" t="str">
        <f>IF(Summary!A794&lt;&gt;"",Summary!A794,"")</f>
        <v/>
      </c>
      <c r="B793" s="21" t="str">
        <f>IF(Summary!J794&lt;&gt;"",Summary!J794,"")</f>
        <v/>
      </c>
      <c r="C793" s="44" t="str">
        <f>IF(Summary!E794+Summary!H794&gt;0,Summary!E794+Summary!H794,"")</f>
        <v/>
      </c>
      <c r="D793" s="40" t="str">
        <f>IF(Summary!L794&lt;&gt;"",Summary!L794,"")</f>
        <v/>
      </c>
      <c r="E793" s="40" t="str">
        <f>IF(Summary!M794&lt;&gt;"",Summary!M794,"")</f>
        <v/>
      </c>
      <c r="F793" s="20" t="str">
        <f>IF(Summary!N794&lt;&gt;"",Summary!N794,"")</f>
        <v/>
      </c>
      <c r="G793" s="20" t="str">
        <f>IF(Summary!O794&lt;&gt;"",Summary!O794,"")</f>
        <v/>
      </c>
    </row>
    <row r="794" spans="1:7">
      <c r="A794" s="39" t="str">
        <f>IF(Summary!A795&lt;&gt;"",Summary!A795,"")</f>
        <v/>
      </c>
      <c r="B794" s="21" t="str">
        <f>IF(Summary!J795&lt;&gt;"",Summary!J795,"")</f>
        <v/>
      </c>
      <c r="C794" s="44" t="str">
        <f>IF(Summary!E795+Summary!H795&gt;0,Summary!E795+Summary!H795,"")</f>
        <v/>
      </c>
      <c r="D794" s="40" t="str">
        <f>IF(Summary!L795&lt;&gt;"",Summary!L795,"")</f>
        <v/>
      </c>
      <c r="E794" s="40" t="str">
        <f>IF(Summary!M795&lt;&gt;"",Summary!M795,"")</f>
        <v/>
      </c>
      <c r="F794" s="20" t="str">
        <f>IF(Summary!N795&lt;&gt;"",Summary!N795,"")</f>
        <v/>
      </c>
      <c r="G794" s="20" t="str">
        <f>IF(Summary!O795&lt;&gt;"",Summary!O795,"")</f>
        <v/>
      </c>
    </row>
    <row r="795" spans="1:7">
      <c r="A795" s="39" t="str">
        <f>IF(Summary!A796&lt;&gt;"",Summary!A796,"")</f>
        <v/>
      </c>
      <c r="B795" s="21" t="str">
        <f>IF(Summary!J796&lt;&gt;"",Summary!J796,"")</f>
        <v/>
      </c>
      <c r="C795" s="44" t="str">
        <f>IF(Summary!E796+Summary!H796&gt;0,Summary!E796+Summary!H796,"")</f>
        <v/>
      </c>
      <c r="D795" s="40" t="str">
        <f>IF(Summary!L796&lt;&gt;"",Summary!L796,"")</f>
        <v/>
      </c>
      <c r="E795" s="40" t="str">
        <f>IF(Summary!M796&lt;&gt;"",Summary!M796,"")</f>
        <v/>
      </c>
      <c r="F795" s="20" t="str">
        <f>IF(Summary!N796&lt;&gt;"",Summary!N796,"")</f>
        <v/>
      </c>
      <c r="G795" s="20" t="str">
        <f>IF(Summary!O796&lt;&gt;"",Summary!O796,"")</f>
        <v/>
      </c>
    </row>
    <row r="796" spans="1:7">
      <c r="A796" s="39" t="str">
        <f>IF(Summary!A797&lt;&gt;"",Summary!A797,"")</f>
        <v/>
      </c>
      <c r="B796" s="21" t="str">
        <f>IF(Summary!J797&lt;&gt;"",Summary!J797,"")</f>
        <v/>
      </c>
      <c r="C796" s="44" t="str">
        <f>IF(Summary!E797+Summary!H797&gt;0,Summary!E797+Summary!H797,"")</f>
        <v/>
      </c>
      <c r="D796" s="40" t="str">
        <f>IF(Summary!L797&lt;&gt;"",Summary!L797,"")</f>
        <v/>
      </c>
      <c r="E796" s="40" t="str">
        <f>IF(Summary!M797&lt;&gt;"",Summary!M797,"")</f>
        <v/>
      </c>
      <c r="F796" s="20" t="str">
        <f>IF(Summary!N797&lt;&gt;"",Summary!N797,"")</f>
        <v/>
      </c>
      <c r="G796" s="20" t="str">
        <f>IF(Summary!O797&lt;&gt;"",Summary!O797,"")</f>
        <v/>
      </c>
    </row>
    <row r="797" spans="1:7">
      <c r="A797" s="39" t="str">
        <f>IF(Summary!A798&lt;&gt;"",Summary!A798,"")</f>
        <v/>
      </c>
      <c r="B797" s="21" t="str">
        <f>IF(Summary!J798&lt;&gt;"",Summary!J798,"")</f>
        <v/>
      </c>
      <c r="C797" s="44" t="str">
        <f>IF(Summary!E798+Summary!H798&gt;0,Summary!E798+Summary!H798,"")</f>
        <v/>
      </c>
      <c r="D797" s="40" t="str">
        <f>IF(Summary!L798&lt;&gt;"",Summary!L798,"")</f>
        <v/>
      </c>
      <c r="E797" s="40" t="str">
        <f>IF(Summary!M798&lt;&gt;"",Summary!M798,"")</f>
        <v/>
      </c>
      <c r="F797" s="20" t="str">
        <f>IF(Summary!N798&lt;&gt;"",Summary!N798,"")</f>
        <v/>
      </c>
      <c r="G797" s="20" t="str">
        <f>IF(Summary!O798&lt;&gt;"",Summary!O798,"")</f>
        <v/>
      </c>
    </row>
    <row r="798" spans="1:7">
      <c r="A798" s="39" t="str">
        <f>IF(Summary!A799&lt;&gt;"",Summary!A799,"")</f>
        <v/>
      </c>
      <c r="B798" s="21" t="str">
        <f>IF(Summary!J799&lt;&gt;"",Summary!J799,"")</f>
        <v/>
      </c>
      <c r="C798" s="44" t="str">
        <f>IF(Summary!E799+Summary!H799&gt;0,Summary!E799+Summary!H799,"")</f>
        <v/>
      </c>
      <c r="D798" s="40" t="str">
        <f>IF(Summary!L799&lt;&gt;"",Summary!L799,"")</f>
        <v/>
      </c>
      <c r="E798" s="40" t="str">
        <f>IF(Summary!M799&lt;&gt;"",Summary!M799,"")</f>
        <v/>
      </c>
      <c r="F798" s="20" t="str">
        <f>IF(Summary!N799&lt;&gt;"",Summary!N799,"")</f>
        <v/>
      </c>
      <c r="G798" s="20" t="str">
        <f>IF(Summary!O799&lt;&gt;"",Summary!O799,"")</f>
        <v/>
      </c>
    </row>
    <row r="799" spans="1:7">
      <c r="A799" s="39" t="str">
        <f>IF(Summary!A800&lt;&gt;"",Summary!A800,"")</f>
        <v/>
      </c>
      <c r="B799" s="21" t="str">
        <f>IF(Summary!J800&lt;&gt;"",Summary!J800,"")</f>
        <v/>
      </c>
      <c r="C799" s="44" t="str">
        <f>IF(Summary!E800+Summary!H800&gt;0,Summary!E800+Summary!H800,"")</f>
        <v/>
      </c>
      <c r="D799" s="40" t="str">
        <f>IF(Summary!L800&lt;&gt;"",Summary!L800,"")</f>
        <v/>
      </c>
      <c r="E799" s="40" t="str">
        <f>IF(Summary!M800&lt;&gt;"",Summary!M800,"")</f>
        <v/>
      </c>
      <c r="F799" s="20" t="str">
        <f>IF(Summary!N800&lt;&gt;"",Summary!N800,"")</f>
        <v/>
      </c>
      <c r="G799" s="20" t="str">
        <f>IF(Summary!O800&lt;&gt;"",Summary!O800,"")</f>
        <v/>
      </c>
    </row>
    <row r="800" spans="1:7">
      <c r="A800" s="39" t="str">
        <f>IF(Summary!A801&lt;&gt;"",Summary!A801,"")</f>
        <v/>
      </c>
      <c r="B800" s="21" t="str">
        <f>IF(Summary!J801&lt;&gt;"",Summary!J801,"")</f>
        <v/>
      </c>
      <c r="C800" s="44" t="str">
        <f>IF(Summary!E801+Summary!H801&gt;0,Summary!E801+Summary!H801,"")</f>
        <v/>
      </c>
      <c r="D800" s="40" t="str">
        <f>IF(Summary!L801&lt;&gt;"",Summary!L801,"")</f>
        <v/>
      </c>
      <c r="E800" s="40" t="str">
        <f>IF(Summary!M801&lt;&gt;"",Summary!M801,"")</f>
        <v/>
      </c>
      <c r="F800" s="20" t="str">
        <f>IF(Summary!N801&lt;&gt;"",Summary!N801,"")</f>
        <v/>
      </c>
      <c r="G800" s="20" t="str">
        <f>IF(Summary!O801&lt;&gt;"",Summary!O801,"")</f>
        <v/>
      </c>
    </row>
    <row r="801" spans="1:7">
      <c r="A801" s="39" t="str">
        <f>IF(Summary!A802&lt;&gt;"",Summary!A802,"")</f>
        <v/>
      </c>
      <c r="B801" s="21" t="str">
        <f>IF(Summary!J802&lt;&gt;"",Summary!J802,"")</f>
        <v/>
      </c>
      <c r="C801" s="44" t="str">
        <f>IF(Summary!E802+Summary!H802&gt;0,Summary!E802+Summary!H802,"")</f>
        <v/>
      </c>
      <c r="D801" s="40" t="str">
        <f>IF(Summary!L802&lt;&gt;"",Summary!L802,"")</f>
        <v/>
      </c>
      <c r="E801" s="40" t="str">
        <f>IF(Summary!M802&lt;&gt;"",Summary!M802,"")</f>
        <v/>
      </c>
      <c r="F801" s="20" t="str">
        <f>IF(Summary!N802&lt;&gt;"",Summary!N802,"")</f>
        <v/>
      </c>
      <c r="G801" s="20" t="str">
        <f>IF(Summary!O802&lt;&gt;"",Summary!O802,"")</f>
        <v/>
      </c>
    </row>
    <row r="802" spans="1:7">
      <c r="A802" s="39" t="str">
        <f>IF(Summary!A803&lt;&gt;"",Summary!A803,"")</f>
        <v/>
      </c>
      <c r="B802" s="21" t="str">
        <f>IF(Summary!J803&lt;&gt;"",Summary!J803,"")</f>
        <v/>
      </c>
      <c r="C802" s="44" t="str">
        <f>IF(Summary!E803+Summary!H803&gt;0,Summary!E803+Summary!H803,"")</f>
        <v/>
      </c>
      <c r="D802" s="40" t="str">
        <f>IF(Summary!L803&lt;&gt;"",Summary!L803,"")</f>
        <v/>
      </c>
      <c r="E802" s="40" t="str">
        <f>IF(Summary!M803&lt;&gt;"",Summary!M803,"")</f>
        <v/>
      </c>
      <c r="F802" s="20" t="str">
        <f>IF(Summary!N803&lt;&gt;"",Summary!N803,"")</f>
        <v/>
      </c>
      <c r="G802" s="20" t="str">
        <f>IF(Summary!O803&lt;&gt;"",Summary!O803,"")</f>
        <v/>
      </c>
    </row>
    <row r="803" spans="1:7">
      <c r="A803" s="39" t="str">
        <f>IF(Summary!A804&lt;&gt;"",Summary!A804,"")</f>
        <v/>
      </c>
      <c r="B803" s="21" t="str">
        <f>IF(Summary!J804&lt;&gt;"",Summary!J804,"")</f>
        <v/>
      </c>
      <c r="C803" s="44" t="str">
        <f>IF(Summary!E804+Summary!H804&gt;0,Summary!E804+Summary!H804,"")</f>
        <v/>
      </c>
      <c r="D803" s="40" t="str">
        <f>IF(Summary!L804&lt;&gt;"",Summary!L804,"")</f>
        <v/>
      </c>
      <c r="E803" s="40" t="str">
        <f>IF(Summary!M804&lt;&gt;"",Summary!M804,"")</f>
        <v/>
      </c>
      <c r="F803" s="20" t="str">
        <f>IF(Summary!N804&lt;&gt;"",Summary!N804,"")</f>
        <v/>
      </c>
      <c r="G803" s="20" t="str">
        <f>IF(Summary!O804&lt;&gt;"",Summary!O804,"")</f>
        <v/>
      </c>
    </row>
    <row r="804" spans="1:7">
      <c r="A804" s="39" t="str">
        <f>IF(Summary!A805&lt;&gt;"",Summary!A805,"")</f>
        <v/>
      </c>
      <c r="B804" s="21" t="str">
        <f>IF(Summary!J805&lt;&gt;"",Summary!J805,"")</f>
        <v/>
      </c>
      <c r="C804" s="44" t="str">
        <f>IF(Summary!E805+Summary!H805&gt;0,Summary!E805+Summary!H805,"")</f>
        <v/>
      </c>
      <c r="D804" s="40" t="str">
        <f>IF(Summary!L805&lt;&gt;"",Summary!L805,"")</f>
        <v/>
      </c>
      <c r="E804" s="40" t="str">
        <f>IF(Summary!M805&lt;&gt;"",Summary!M805,"")</f>
        <v/>
      </c>
      <c r="F804" s="20" t="str">
        <f>IF(Summary!N805&lt;&gt;"",Summary!N805,"")</f>
        <v/>
      </c>
      <c r="G804" s="20" t="str">
        <f>IF(Summary!O805&lt;&gt;"",Summary!O805,"")</f>
        <v/>
      </c>
    </row>
    <row r="805" spans="1:7">
      <c r="A805" s="39" t="str">
        <f>IF(Summary!A806&lt;&gt;"",Summary!A806,"")</f>
        <v/>
      </c>
      <c r="B805" s="21" t="str">
        <f>IF(Summary!J806&lt;&gt;"",Summary!J806,"")</f>
        <v/>
      </c>
      <c r="C805" s="44" t="str">
        <f>IF(Summary!E806+Summary!H806&gt;0,Summary!E806+Summary!H806,"")</f>
        <v/>
      </c>
      <c r="D805" s="40" t="str">
        <f>IF(Summary!L806&lt;&gt;"",Summary!L806,"")</f>
        <v/>
      </c>
      <c r="E805" s="40" t="str">
        <f>IF(Summary!M806&lt;&gt;"",Summary!M806,"")</f>
        <v/>
      </c>
      <c r="F805" s="20" t="str">
        <f>IF(Summary!N806&lt;&gt;"",Summary!N806,"")</f>
        <v/>
      </c>
      <c r="G805" s="20" t="str">
        <f>IF(Summary!O806&lt;&gt;"",Summary!O806,"")</f>
        <v/>
      </c>
    </row>
    <row r="806" spans="1:7">
      <c r="A806" s="39" t="str">
        <f>IF(Summary!A807&lt;&gt;"",Summary!A807,"")</f>
        <v/>
      </c>
      <c r="B806" s="21" t="str">
        <f>IF(Summary!J807&lt;&gt;"",Summary!J807,"")</f>
        <v/>
      </c>
      <c r="C806" s="44" t="str">
        <f>IF(Summary!E807+Summary!H807&gt;0,Summary!E807+Summary!H807,"")</f>
        <v/>
      </c>
      <c r="D806" s="40" t="str">
        <f>IF(Summary!L807&lt;&gt;"",Summary!L807,"")</f>
        <v/>
      </c>
      <c r="E806" s="40" t="str">
        <f>IF(Summary!M807&lt;&gt;"",Summary!M807,"")</f>
        <v/>
      </c>
      <c r="F806" s="20" t="str">
        <f>IF(Summary!N807&lt;&gt;"",Summary!N807,"")</f>
        <v/>
      </c>
      <c r="G806" s="20" t="str">
        <f>IF(Summary!O807&lt;&gt;"",Summary!O807,"")</f>
        <v/>
      </c>
    </row>
    <row r="807" spans="1:7">
      <c r="A807" s="39" t="str">
        <f>IF(Summary!A808&lt;&gt;"",Summary!A808,"")</f>
        <v/>
      </c>
      <c r="B807" s="21" t="str">
        <f>IF(Summary!J808&lt;&gt;"",Summary!J808,"")</f>
        <v/>
      </c>
      <c r="C807" s="44" t="str">
        <f>IF(Summary!E808+Summary!H808&gt;0,Summary!E808+Summary!H808,"")</f>
        <v/>
      </c>
      <c r="D807" s="40" t="str">
        <f>IF(Summary!L808&lt;&gt;"",Summary!L808,"")</f>
        <v/>
      </c>
      <c r="E807" s="40" t="str">
        <f>IF(Summary!M808&lt;&gt;"",Summary!M808,"")</f>
        <v/>
      </c>
      <c r="F807" s="20" t="str">
        <f>IF(Summary!N808&lt;&gt;"",Summary!N808,"")</f>
        <v/>
      </c>
      <c r="G807" s="20" t="str">
        <f>IF(Summary!O808&lt;&gt;"",Summary!O808,"")</f>
        <v/>
      </c>
    </row>
    <row r="808" spans="1:7">
      <c r="A808" s="39" t="str">
        <f>IF(Summary!A809&lt;&gt;"",Summary!A809,"")</f>
        <v/>
      </c>
      <c r="B808" s="21" t="str">
        <f>IF(Summary!J809&lt;&gt;"",Summary!J809,"")</f>
        <v/>
      </c>
      <c r="C808" s="44" t="str">
        <f>IF(Summary!E809+Summary!H809&gt;0,Summary!E809+Summary!H809,"")</f>
        <v/>
      </c>
      <c r="D808" s="40" t="str">
        <f>IF(Summary!L809&lt;&gt;"",Summary!L809,"")</f>
        <v/>
      </c>
      <c r="E808" s="40" t="str">
        <f>IF(Summary!M809&lt;&gt;"",Summary!M809,"")</f>
        <v/>
      </c>
      <c r="F808" s="20" t="str">
        <f>IF(Summary!N809&lt;&gt;"",Summary!N809,"")</f>
        <v/>
      </c>
      <c r="G808" s="20" t="str">
        <f>IF(Summary!O809&lt;&gt;"",Summary!O809,"")</f>
        <v/>
      </c>
    </row>
    <row r="809" spans="1:7">
      <c r="A809" s="39" t="str">
        <f>IF(Summary!A810&lt;&gt;"",Summary!A810,"")</f>
        <v/>
      </c>
      <c r="B809" s="21" t="str">
        <f>IF(Summary!J810&lt;&gt;"",Summary!J810,"")</f>
        <v/>
      </c>
      <c r="C809" s="44" t="str">
        <f>IF(Summary!E810+Summary!H810&gt;0,Summary!E810+Summary!H810,"")</f>
        <v/>
      </c>
      <c r="D809" s="40" t="str">
        <f>IF(Summary!L810&lt;&gt;"",Summary!L810,"")</f>
        <v/>
      </c>
      <c r="E809" s="40" t="str">
        <f>IF(Summary!M810&lt;&gt;"",Summary!M810,"")</f>
        <v/>
      </c>
      <c r="F809" s="20" t="str">
        <f>IF(Summary!N810&lt;&gt;"",Summary!N810,"")</f>
        <v/>
      </c>
      <c r="G809" s="20" t="str">
        <f>IF(Summary!O810&lt;&gt;"",Summary!O810,"")</f>
        <v/>
      </c>
    </row>
    <row r="810" spans="1:7">
      <c r="A810" s="39" t="str">
        <f>IF(Summary!A811&lt;&gt;"",Summary!A811,"")</f>
        <v/>
      </c>
      <c r="B810" s="21" t="str">
        <f>IF(Summary!J811&lt;&gt;"",Summary!J811,"")</f>
        <v/>
      </c>
      <c r="C810" s="44" t="str">
        <f>IF(Summary!E811+Summary!H811&gt;0,Summary!E811+Summary!H811,"")</f>
        <v/>
      </c>
      <c r="D810" s="40" t="str">
        <f>IF(Summary!L811&lt;&gt;"",Summary!L811,"")</f>
        <v/>
      </c>
      <c r="E810" s="40" t="str">
        <f>IF(Summary!M811&lt;&gt;"",Summary!M811,"")</f>
        <v/>
      </c>
      <c r="F810" s="20" t="str">
        <f>IF(Summary!N811&lt;&gt;"",Summary!N811,"")</f>
        <v/>
      </c>
      <c r="G810" s="20" t="str">
        <f>IF(Summary!O811&lt;&gt;"",Summary!O811,"")</f>
        <v/>
      </c>
    </row>
    <row r="811" spans="1:7">
      <c r="A811" s="39" t="str">
        <f>IF(Summary!A812&lt;&gt;"",Summary!A812,"")</f>
        <v/>
      </c>
      <c r="B811" s="21" t="str">
        <f>IF(Summary!J812&lt;&gt;"",Summary!J812,"")</f>
        <v/>
      </c>
      <c r="C811" s="44" t="str">
        <f>IF(Summary!E812+Summary!H812&gt;0,Summary!E812+Summary!H812,"")</f>
        <v/>
      </c>
      <c r="D811" s="40" t="str">
        <f>IF(Summary!L812&lt;&gt;"",Summary!L812,"")</f>
        <v/>
      </c>
      <c r="E811" s="40" t="str">
        <f>IF(Summary!M812&lt;&gt;"",Summary!M812,"")</f>
        <v/>
      </c>
      <c r="F811" s="20" t="str">
        <f>IF(Summary!N812&lt;&gt;"",Summary!N812,"")</f>
        <v/>
      </c>
      <c r="G811" s="20" t="str">
        <f>IF(Summary!O812&lt;&gt;"",Summary!O812,"")</f>
        <v/>
      </c>
    </row>
    <row r="812" spans="1:7">
      <c r="A812" s="39" t="str">
        <f>IF(Summary!A813&lt;&gt;"",Summary!A813,"")</f>
        <v/>
      </c>
      <c r="B812" s="21" t="str">
        <f>IF(Summary!J813&lt;&gt;"",Summary!J813,"")</f>
        <v/>
      </c>
      <c r="C812" s="44" t="str">
        <f>IF(Summary!E813+Summary!H813&gt;0,Summary!E813+Summary!H813,"")</f>
        <v/>
      </c>
      <c r="D812" s="40" t="str">
        <f>IF(Summary!L813&lt;&gt;"",Summary!L813,"")</f>
        <v/>
      </c>
      <c r="E812" s="40" t="str">
        <f>IF(Summary!M813&lt;&gt;"",Summary!M813,"")</f>
        <v/>
      </c>
      <c r="F812" s="20" t="str">
        <f>IF(Summary!N813&lt;&gt;"",Summary!N813,"")</f>
        <v/>
      </c>
      <c r="G812" s="20" t="str">
        <f>IF(Summary!O813&lt;&gt;"",Summary!O813,"")</f>
        <v/>
      </c>
    </row>
    <row r="813" spans="1:7">
      <c r="A813" s="39" t="str">
        <f>IF(Summary!A814&lt;&gt;"",Summary!A814,"")</f>
        <v/>
      </c>
      <c r="B813" s="21" t="str">
        <f>IF(Summary!J814&lt;&gt;"",Summary!J814,"")</f>
        <v/>
      </c>
      <c r="C813" s="44" t="str">
        <f>IF(Summary!E814+Summary!H814&gt;0,Summary!E814+Summary!H814,"")</f>
        <v/>
      </c>
      <c r="D813" s="40" t="str">
        <f>IF(Summary!L814&lt;&gt;"",Summary!L814,"")</f>
        <v/>
      </c>
      <c r="E813" s="40" t="str">
        <f>IF(Summary!M814&lt;&gt;"",Summary!M814,"")</f>
        <v/>
      </c>
      <c r="F813" s="20" t="str">
        <f>IF(Summary!N814&lt;&gt;"",Summary!N814,"")</f>
        <v/>
      </c>
      <c r="G813" s="20" t="str">
        <f>IF(Summary!O814&lt;&gt;"",Summary!O814,"")</f>
        <v/>
      </c>
    </row>
    <row r="814" spans="1:7">
      <c r="A814" s="39" t="str">
        <f>IF(Summary!A815&lt;&gt;"",Summary!A815,"")</f>
        <v/>
      </c>
      <c r="B814" s="21" t="str">
        <f>IF(Summary!J815&lt;&gt;"",Summary!J815,"")</f>
        <v/>
      </c>
      <c r="C814" s="44" t="str">
        <f>IF(Summary!E815+Summary!H815&gt;0,Summary!E815+Summary!H815,"")</f>
        <v/>
      </c>
      <c r="D814" s="40" t="str">
        <f>IF(Summary!L815&lt;&gt;"",Summary!L815,"")</f>
        <v/>
      </c>
      <c r="E814" s="40" t="str">
        <f>IF(Summary!M815&lt;&gt;"",Summary!M815,"")</f>
        <v/>
      </c>
      <c r="F814" s="20" t="str">
        <f>IF(Summary!N815&lt;&gt;"",Summary!N815,"")</f>
        <v/>
      </c>
      <c r="G814" s="20" t="str">
        <f>IF(Summary!O815&lt;&gt;"",Summary!O815,"")</f>
        <v/>
      </c>
    </row>
    <row r="815" spans="1:7">
      <c r="A815" s="39" t="str">
        <f>IF(Summary!A816&lt;&gt;"",Summary!A816,"")</f>
        <v/>
      </c>
      <c r="B815" s="21" t="str">
        <f>IF(Summary!J816&lt;&gt;"",Summary!J816,"")</f>
        <v/>
      </c>
      <c r="C815" s="44" t="str">
        <f>IF(Summary!E816+Summary!H816&gt;0,Summary!E816+Summary!H816,"")</f>
        <v/>
      </c>
      <c r="D815" s="40" t="str">
        <f>IF(Summary!L816&lt;&gt;"",Summary!L816,"")</f>
        <v/>
      </c>
      <c r="E815" s="40" t="str">
        <f>IF(Summary!M816&lt;&gt;"",Summary!M816,"")</f>
        <v/>
      </c>
      <c r="F815" s="20" t="str">
        <f>IF(Summary!N816&lt;&gt;"",Summary!N816,"")</f>
        <v/>
      </c>
      <c r="G815" s="20" t="str">
        <f>IF(Summary!O816&lt;&gt;"",Summary!O816,"")</f>
        <v/>
      </c>
    </row>
    <row r="816" spans="1:7">
      <c r="A816" s="39" t="str">
        <f>IF(Summary!A817&lt;&gt;"",Summary!A817,"")</f>
        <v/>
      </c>
      <c r="B816" s="21" t="str">
        <f>IF(Summary!J817&lt;&gt;"",Summary!J817,"")</f>
        <v/>
      </c>
      <c r="C816" s="44" t="str">
        <f>IF(Summary!E817+Summary!H817&gt;0,Summary!E817+Summary!H817,"")</f>
        <v/>
      </c>
      <c r="D816" s="40" t="str">
        <f>IF(Summary!L817&lt;&gt;"",Summary!L817,"")</f>
        <v/>
      </c>
      <c r="E816" s="40" t="str">
        <f>IF(Summary!M817&lt;&gt;"",Summary!M817,"")</f>
        <v/>
      </c>
      <c r="F816" s="20" t="str">
        <f>IF(Summary!N817&lt;&gt;"",Summary!N817,"")</f>
        <v/>
      </c>
      <c r="G816" s="20" t="str">
        <f>IF(Summary!O817&lt;&gt;"",Summary!O817,"")</f>
        <v/>
      </c>
    </row>
    <row r="817" spans="1:7">
      <c r="A817" s="39" t="str">
        <f>IF(Summary!A818&lt;&gt;"",Summary!A818,"")</f>
        <v/>
      </c>
      <c r="B817" s="21" t="str">
        <f>IF(Summary!J818&lt;&gt;"",Summary!J818,"")</f>
        <v/>
      </c>
      <c r="C817" s="44" t="str">
        <f>IF(Summary!E818+Summary!H818&gt;0,Summary!E818+Summary!H818,"")</f>
        <v/>
      </c>
      <c r="D817" s="40" t="str">
        <f>IF(Summary!L818&lt;&gt;"",Summary!L818,"")</f>
        <v/>
      </c>
      <c r="E817" s="40" t="str">
        <f>IF(Summary!M818&lt;&gt;"",Summary!M818,"")</f>
        <v/>
      </c>
      <c r="F817" s="20" t="str">
        <f>IF(Summary!N818&lt;&gt;"",Summary!N818,"")</f>
        <v/>
      </c>
      <c r="G817" s="20" t="str">
        <f>IF(Summary!O818&lt;&gt;"",Summary!O818,"")</f>
        <v/>
      </c>
    </row>
    <row r="818" spans="1:7">
      <c r="A818" s="39" t="str">
        <f>IF(Summary!A819&lt;&gt;"",Summary!A819,"")</f>
        <v/>
      </c>
      <c r="B818" s="21" t="str">
        <f>IF(Summary!J819&lt;&gt;"",Summary!J819,"")</f>
        <v/>
      </c>
      <c r="C818" s="44" t="str">
        <f>IF(Summary!E819+Summary!H819&gt;0,Summary!E819+Summary!H819,"")</f>
        <v/>
      </c>
      <c r="D818" s="40" t="str">
        <f>IF(Summary!L819&lt;&gt;"",Summary!L819,"")</f>
        <v/>
      </c>
      <c r="E818" s="40" t="str">
        <f>IF(Summary!M819&lt;&gt;"",Summary!M819,"")</f>
        <v/>
      </c>
      <c r="F818" s="20" t="str">
        <f>IF(Summary!N819&lt;&gt;"",Summary!N819,"")</f>
        <v/>
      </c>
      <c r="G818" s="20" t="str">
        <f>IF(Summary!O819&lt;&gt;"",Summary!O819,"")</f>
        <v/>
      </c>
    </row>
    <row r="819" spans="1:7">
      <c r="A819" s="39" t="str">
        <f>IF(Summary!A820&lt;&gt;"",Summary!A820,"")</f>
        <v/>
      </c>
      <c r="B819" s="21" t="str">
        <f>IF(Summary!J820&lt;&gt;"",Summary!J820,"")</f>
        <v/>
      </c>
      <c r="C819" s="44" t="str">
        <f>IF(Summary!E820+Summary!H820&gt;0,Summary!E820+Summary!H820,"")</f>
        <v/>
      </c>
      <c r="D819" s="40" t="str">
        <f>IF(Summary!L820&lt;&gt;"",Summary!L820,"")</f>
        <v/>
      </c>
      <c r="E819" s="40" t="str">
        <f>IF(Summary!M820&lt;&gt;"",Summary!M820,"")</f>
        <v/>
      </c>
      <c r="F819" s="20" t="str">
        <f>IF(Summary!N820&lt;&gt;"",Summary!N820,"")</f>
        <v/>
      </c>
      <c r="G819" s="20" t="str">
        <f>IF(Summary!O820&lt;&gt;"",Summary!O820,"")</f>
        <v/>
      </c>
    </row>
    <row r="820" spans="1:7">
      <c r="A820" s="39" t="str">
        <f>IF(Summary!A821&lt;&gt;"",Summary!A821,"")</f>
        <v/>
      </c>
      <c r="B820" s="21" t="str">
        <f>IF(Summary!J821&lt;&gt;"",Summary!J821,"")</f>
        <v/>
      </c>
      <c r="C820" s="44" t="str">
        <f>IF(Summary!E821+Summary!H821&gt;0,Summary!E821+Summary!H821,"")</f>
        <v/>
      </c>
      <c r="D820" s="40" t="str">
        <f>IF(Summary!L821&lt;&gt;"",Summary!L821,"")</f>
        <v/>
      </c>
      <c r="E820" s="40" t="str">
        <f>IF(Summary!M821&lt;&gt;"",Summary!M821,"")</f>
        <v/>
      </c>
      <c r="F820" s="20" t="str">
        <f>IF(Summary!N821&lt;&gt;"",Summary!N821,"")</f>
        <v/>
      </c>
      <c r="G820" s="20" t="str">
        <f>IF(Summary!O821&lt;&gt;"",Summary!O821,"")</f>
        <v/>
      </c>
    </row>
    <row r="821" spans="1:7">
      <c r="A821" s="39" t="str">
        <f>IF(Summary!A822&lt;&gt;"",Summary!A822,"")</f>
        <v/>
      </c>
      <c r="B821" s="21" t="str">
        <f>IF(Summary!J822&lt;&gt;"",Summary!J822,"")</f>
        <v/>
      </c>
      <c r="C821" s="44" t="str">
        <f>IF(Summary!E822+Summary!H822&gt;0,Summary!E822+Summary!H822,"")</f>
        <v/>
      </c>
      <c r="D821" s="40" t="str">
        <f>IF(Summary!L822&lt;&gt;"",Summary!L822,"")</f>
        <v/>
      </c>
      <c r="E821" s="40" t="str">
        <f>IF(Summary!M822&lt;&gt;"",Summary!M822,"")</f>
        <v/>
      </c>
      <c r="F821" s="20" t="str">
        <f>IF(Summary!N822&lt;&gt;"",Summary!N822,"")</f>
        <v/>
      </c>
      <c r="G821" s="20" t="str">
        <f>IF(Summary!O822&lt;&gt;"",Summary!O822,"")</f>
        <v/>
      </c>
    </row>
    <row r="822" spans="1:7">
      <c r="A822" s="39" t="str">
        <f>IF(Summary!A823&lt;&gt;"",Summary!A823,"")</f>
        <v/>
      </c>
      <c r="B822" s="21" t="str">
        <f>IF(Summary!J823&lt;&gt;"",Summary!J823,"")</f>
        <v/>
      </c>
      <c r="C822" s="44" t="str">
        <f>IF(Summary!E823+Summary!H823&gt;0,Summary!E823+Summary!H823,"")</f>
        <v/>
      </c>
      <c r="D822" s="40" t="str">
        <f>IF(Summary!L823&lt;&gt;"",Summary!L823,"")</f>
        <v/>
      </c>
      <c r="E822" s="40" t="str">
        <f>IF(Summary!M823&lt;&gt;"",Summary!M823,"")</f>
        <v/>
      </c>
      <c r="F822" s="20" t="str">
        <f>IF(Summary!N823&lt;&gt;"",Summary!N823,"")</f>
        <v/>
      </c>
      <c r="G822" s="20" t="str">
        <f>IF(Summary!O823&lt;&gt;"",Summary!O823,"")</f>
        <v/>
      </c>
    </row>
    <row r="823" spans="1:7">
      <c r="A823" s="39" t="str">
        <f>IF(Summary!A824&lt;&gt;"",Summary!A824,"")</f>
        <v/>
      </c>
      <c r="B823" s="21" t="str">
        <f>IF(Summary!J824&lt;&gt;"",Summary!J824,"")</f>
        <v/>
      </c>
      <c r="C823" s="44" t="str">
        <f>IF(Summary!E824+Summary!H824&gt;0,Summary!E824+Summary!H824,"")</f>
        <v/>
      </c>
      <c r="D823" s="40" t="str">
        <f>IF(Summary!L824&lt;&gt;"",Summary!L824,"")</f>
        <v/>
      </c>
      <c r="E823" s="40" t="str">
        <f>IF(Summary!M824&lt;&gt;"",Summary!M824,"")</f>
        <v/>
      </c>
      <c r="F823" s="20" t="str">
        <f>IF(Summary!N824&lt;&gt;"",Summary!N824,"")</f>
        <v/>
      </c>
      <c r="G823" s="20" t="str">
        <f>IF(Summary!O824&lt;&gt;"",Summary!O824,"")</f>
        <v/>
      </c>
    </row>
    <row r="824" spans="1:7">
      <c r="A824" s="39" t="str">
        <f>IF(Summary!A825&lt;&gt;"",Summary!A825,"")</f>
        <v/>
      </c>
      <c r="B824" s="21" t="str">
        <f>IF(Summary!J825&lt;&gt;"",Summary!J825,"")</f>
        <v/>
      </c>
      <c r="C824" s="44" t="str">
        <f>IF(Summary!E825+Summary!H825&gt;0,Summary!E825+Summary!H825,"")</f>
        <v/>
      </c>
      <c r="D824" s="40" t="str">
        <f>IF(Summary!L825&lt;&gt;"",Summary!L825,"")</f>
        <v/>
      </c>
      <c r="E824" s="40" t="str">
        <f>IF(Summary!M825&lt;&gt;"",Summary!M825,"")</f>
        <v/>
      </c>
      <c r="F824" s="20" t="str">
        <f>IF(Summary!N825&lt;&gt;"",Summary!N825,"")</f>
        <v/>
      </c>
      <c r="G824" s="20" t="str">
        <f>IF(Summary!O825&lt;&gt;"",Summary!O825,"")</f>
        <v/>
      </c>
    </row>
    <row r="825" spans="1:7">
      <c r="A825" s="39" t="str">
        <f>IF(Summary!A826&lt;&gt;"",Summary!A826,"")</f>
        <v/>
      </c>
      <c r="B825" s="21" t="str">
        <f>IF(Summary!J826&lt;&gt;"",Summary!J826,"")</f>
        <v/>
      </c>
      <c r="C825" s="44" t="str">
        <f>IF(Summary!E826+Summary!H826&gt;0,Summary!E826+Summary!H826,"")</f>
        <v/>
      </c>
      <c r="D825" s="40" t="str">
        <f>IF(Summary!L826&lt;&gt;"",Summary!L826,"")</f>
        <v/>
      </c>
      <c r="E825" s="40" t="str">
        <f>IF(Summary!M826&lt;&gt;"",Summary!M826,"")</f>
        <v/>
      </c>
      <c r="F825" s="20" t="str">
        <f>IF(Summary!N826&lt;&gt;"",Summary!N826,"")</f>
        <v/>
      </c>
      <c r="G825" s="20" t="str">
        <f>IF(Summary!O826&lt;&gt;"",Summary!O826,"")</f>
        <v/>
      </c>
    </row>
    <row r="826" spans="1:7">
      <c r="A826" s="39" t="str">
        <f>IF(Summary!A827&lt;&gt;"",Summary!A827,"")</f>
        <v/>
      </c>
      <c r="B826" s="21" t="str">
        <f>IF(Summary!J827&lt;&gt;"",Summary!J827,"")</f>
        <v/>
      </c>
      <c r="C826" s="44" t="str">
        <f>IF(Summary!E827+Summary!H827&gt;0,Summary!E827+Summary!H827,"")</f>
        <v/>
      </c>
      <c r="D826" s="40" t="str">
        <f>IF(Summary!L827&lt;&gt;"",Summary!L827,"")</f>
        <v/>
      </c>
      <c r="E826" s="40" t="str">
        <f>IF(Summary!M827&lt;&gt;"",Summary!M827,"")</f>
        <v/>
      </c>
      <c r="F826" s="20" t="str">
        <f>IF(Summary!N827&lt;&gt;"",Summary!N827,"")</f>
        <v/>
      </c>
      <c r="G826" s="20" t="str">
        <f>IF(Summary!O827&lt;&gt;"",Summary!O827,"")</f>
        <v/>
      </c>
    </row>
    <row r="827" spans="1:7">
      <c r="A827" s="39" t="str">
        <f>IF(Summary!A828&lt;&gt;"",Summary!A828,"")</f>
        <v/>
      </c>
      <c r="B827" s="21" t="str">
        <f>IF(Summary!J828&lt;&gt;"",Summary!J828,"")</f>
        <v/>
      </c>
      <c r="C827" s="44" t="str">
        <f>IF(Summary!E828+Summary!H828&gt;0,Summary!E828+Summary!H828,"")</f>
        <v/>
      </c>
      <c r="D827" s="40" t="str">
        <f>IF(Summary!L828&lt;&gt;"",Summary!L828,"")</f>
        <v/>
      </c>
      <c r="E827" s="40" t="str">
        <f>IF(Summary!M828&lt;&gt;"",Summary!M828,"")</f>
        <v/>
      </c>
      <c r="F827" s="20" t="str">
        <f>IF(Summary!N828&lt;&gt;"",Summary!N828,"")</f>
        <v/>
      </c>
      <c r="G827" s="20" t="str">
        <f>IF(Summary!O828&lt;&gt;"",Summary!O828,"")</f>
        <v/>
      </c>
    </row>
    <row r="828" spans="1:7">
      <c r="A828" s="39" t="str">
        <f>IF(Summary!A829&lt;&gt;"",Summary!A829,"")</f>
        <v/>
      </c>
      <c r="B828" s="21" t="str">
        <f>IF(Summary!J829&lt;&gt;"",Summary!J829,"")</f>
        <v/>
      </c>
      <c r="C828" s="44" t="str">
        <f>IF(Summary!E829+Summary!H829&gt;0,Summary!E829+Summary!H829,"")</f>
        <v/>
      </c>
      <c r="D828" s="40" t="str">
        <f>IF(Summary!L829&lt;&gt;"",Summary!L829,"")</f>
        <v/>
      </c>
      <c r="E828" s="40" t="str">
        <f>IF(Summary!M829&lt;&gt;"",Summary!M829,"")</f>
        <v/>
      </c>
      <c r="F828" s="20" t="str">
        <f>IF(Summary!N829&lt;&gt;"",Summary!N829,"")</f>
        <v/>
      </c>
      <c r="G828" s="20" t="str">
        <f>IF(Summary!O829&lt;&gt;"",Summary!O829,"")</f>
        <v/>
      </c>
    </row>
    <row r="829" spans="1:7">
      <c r="A829" s="39" t="str">
        <f>IF(Summary!A830&lt;&gt;"",Summary!A830,"")</f>
        <v/>
      </c>
      <c r="B829" s="21" t="str">
        <f>IF(Summary!J830&lt;&gt;"",Summary!J830,"")</f>
        <v/>
      </c>
      <c r="C829" s="44" t="str">
        <f>IF(Summary!E830+Summary!H830&gt;0,Summary!E830+Summary!H830,"")</f>
        <v/>
      </c>
      <c r="D829" s="40" t="str">
        <f>IF(Summary!L830&lt;&gt;"",Summary!L830,"")</f>
        <v/>
      </c>
      <c r="E829" s="40" t="str">
        <f>IF(Summary!M830&lt;&gt;"",Summary!M830,"")</f>
        <v/>
      </c>
      <c r="F829" s="20" t="str">
        <f>IF(Summary!N830&lt;&gt;"",Summary!N830,"")</f>
        <v/>
      </c>
      <c r="G829" s="20" t="str">
        <f>IF(Summary!O830&lt;&gt;"",Summary!O830,"")</f>
        <v/>
      </c>
    </row>
    <row r="830" spans="1:7">
      <c r="A830" s="39" t="str">
        <f>IF(Summary!A831&lt;&gt;"",Summary!A831,"")</f>
        <v/>
      </c>
      <c r="B830" s="21" t="str">
        <f>IF(Summary!J831&lt;&gt;"",Summary!J831,"")</f>
        <v/>
      </c>
      <c r="C830" s="44" t="str">
        <f>IF(Summary!E831+Summary!H831&gt;0,Summary!E831+Summary!H831,"")</f>
        <v/>
      </c>
      <c r="D830" s="40" t="str">
        <f>IF(Summary!L831&lt;&gt;"",Summary!L831,"")</f>
        <v/>
      </c>
      <c r="E830" s="40" t="str">
        <f>IF(Summary!M831&lt;&gt;"",Summary!M831,"")</f>
        <v/>
      </c>
      <c r="F830" s="20" t="str">
        <f>IF(Summary!N831&lt;&gt;"",Summary!N831,"")</f>
        <v/>
      </c>
      <c r="G830" s="20" t="str">
        <f>IF(Summary!O831&lt;&gt;"",Summary!O831,"")</f>
        <v/>
      </c>
    </row>
    <row r="831" spans="1:7">
      <c r="A831" s="39" t="str">
        <f>IF(Summary!A832&lt;&gt;"",Summary!A832,"")</f>
        <v/>
      </c>
      <c r="B831" s="21" t="str">
        <f>IF(Summary!J832&lt;&gt;"",Summary!J832,"")</f>
        <v/>
      </c>
      <c r="C831" s="44" t="str">
        <f>IF(Summary!E832+Summary!H832&gt;0,Summary!E832+Summary!H832,"")</f>
        <v/>
      </c>
      <c r="D831" s="40" t="str">
        <f>IF(Summary!L832&lt;&gt;"",Summary!L832,"")</f>
        <v/>
      </c>
      <c r="E831" s="40" t="str">
        <f>IF(Summary!M832&lt;&gt;"",Summary!M832,"")</f>
        <v/>
      </c>
      <c r="F831" s="20" t="str">
        <f>IF(Summary!N832&lt;&gt;"",Summary!N832,"")</f>
        <v/>
      </c>
      <c r="G831" s="20" t="str">
        <f>IF(Summary!O832&lt;&gt;"",Summary!O832,"")</f>
        <v/>
      </c>
    </row>
    <row r="832" spans="1:7">
      <c r="A832" s="39" t="str">
        <f>IF(Summary!A833&lt;&gt;"",Summary!A833,"")</f>
        <v/>
      </c>
      <c r="B832" s="21" t="str">
        <f>IF(Summary!J833&lt;&gt;"",Summary!J833,"")</f>
        <v/>
      </c>
      <c r="C832" s="44" t="str">
        <f>IF(Summary!E833+Summary!H833&gt;0,Summary!E833+Summary!H833,"")</f>
        <v/>
      </c>
      <c r="D832" s="40" t="str">
        <f>IF(Summary!L833&lt;&gt;"",Summary!L833,"")</f>
        <v/>
      </c>
      <c r="E832" s="40" t="str">
        <f>IF(Summary!M833&lt;&gt;"",Summary!M833,"")</f>
        <v/>
      </c>
      <c r="F832" s="20" t="str">
        <f>IF(Summary!N833&lt;&gt;"",Summary!N833,"")</f>
        <v/>
      </c>
      <c r="G832" s="20" t="str">
        <f>IF(Summary!O833&lt;&gt;"",Summary!O833,"")</f>
        <v/>
      </c>
    </row>
    <row r="833" spans="1:7">
      <c r="A833" s="39" t="str">
        <f>IF(Summary!A834&lt;&gt;"",Summary!A834,"")</f>
        <v/>
      </c>
      <c r="B833" s="21" t="str">
        <f>IF(Summary!J834&lt;&gt;"",Summary!J834,"")</f>
        <v/>
      </c>
      <c r="C833" s="44" t="str">
        <f>IF(Summary!E834+Summary!H834&gt;0,Summary!E834+Summary!H834,"")</f>
        <v/>
      </c>
      <c r="D833" s="40" t="str">
        <f>IF(Summary!L834&lt;&gt;"",Summary!L834,"")</f>
        <v/>
      </c>
      <c r="E833" s="40" t="str">
        <f>IF(Summary!M834&lt;&gt;"",Summary!M834,"")</f>
        <v/>
      </c>
      <c r="F833" s="20" t="str">
        <f>IF(Summary!N834&lt;&gt;"",Summary!N834,"")</f>
        <v/>
      </c>
      <c r="G833" s="20" t="str">
        <f>IF(Summary!O834&lt;&gt;"",Summary!O834,"")</f>
        <v/>
      </c>
    </row>
    <row r="834" spans="1:7">
      <c r="A834" s="39" t="str">
        <f>IF(Summary!A835&lt;&gt;"",Summary!A835,"")</f>
        <v/>
      </c>
      <c r="B834" s="21" t="str">
        <f>IF(Summary!J835&lt;&gt;"",Summary!J835,"")</f>
        <v/>
      </c>
      <c r="C834" s="44" t="str">
        <f>IF(Summary!E835+Summary!H835&gt;0,Summary!E835+Summary!H835,"")</f>
        <v/>
      </c>
      <c r="D834" s="40" t="str">
        <f>IF(Summary!L835&lt;&gt;"",Summary!L835,"")</f>
        <v/>
      </c>
      <c r="E834" s="40" t="str">
        <f>IF(Summary!M835&lt;&gt;"",Summary!M835,"")</f>
        <v/>
      </c>
      <c r="F834" s="20" t="str">
        <f>IF(Summary!N835&lt;&gt;"",Summary!N835,"")</f>
        <v/>
      </c>
      <c r="G834" s="20" t="str">
        <f>IF(Summary!O835&lt;&gt;"",Summary!O835,"")</f>
        <v/>
      </c>
    </row>
    <row r="835" spans="1:7">
      <c r="A835" s="39" t="str">
        <f>IF(Summary!A836&lt;&gt;"",Summary!A836,"")</f>
        <v/>
      </c>
      <c r="B835" s="21" t="str">
        <f>IF(Summary!J836&lt;&gt;"",Summary!J836,"")</f>
        <v/>
      </c>
      <c r="C835" s="44" t="str">
        <f>IF(Summary!E836+Summary!H836&gt;0,Summary!E836+Summary!H836,"")</f>
        <v/>
      </c>
      <c r="D835" s="40" t="str">
        <f>IF(Summary!L836&lt;&gt;"",Summary!L836,"")</f>
        <v/>
      </c>
      <c r="E835" s="40" t="str">
        <f>IF(Summary!M836&lt;&gt;"",Summary!M836,"")</f>
        <v/>
      </c>
      <c r="F835" s="20" t="str">
        <f>IF(Summary!N836&lt;&gt;"",Summary!N836,"")</f>
        <v/>
      </c>
      <c r="G835" s="20" t="str">
        <f>IF(Summary!O836&lt;&gt;"",Summary!O836,"")</f>
        <v/>
      </c>
    </row>
    <row r="836" spans="1:7">
      <c r="A836" s="39" t="str">
        <f>IF(Summary!A837&lt;&gt;"",Summary!A837,"")</f>
        <v/>
      </c>
      <c r="B836" s="21" t="str">
        <f>IF(Summary!J837&lt;&gt;"",Summary!J837,"")</f>
        <v/>
      </c>
      <c r="C836" s="44" t="str">
        <f>IF(Summary!E837+Summary!H837&gt;0,Summary!E837+Summary!H837,"")</f>
        <v/>
      </c>
      <c r="D836" s="40" t="str">
        <f>IF(Summary!L837&lt;&gt;"",Summary!L837,"")</f>
        <v/>
      </c>
      <c r="E836" s="40" t="str">
        <f>IF(Summary!M837&lt;&gt;"",Summary!M837,"")</f>
        <v/>
      </c>
      <c r="F836" s="20" t="str">
        <f>IF(Summary!N837&lt;&gt;"",Summary!N837,"")</f>
        <v/>
      </c>
      <c r="G836" s="20" t="str">
        <f>IF(Summary!O837&lt;&gt;"",Summary!O837,"")</f>
        <v/>
      </c>
    </row>
    <row r="837" spans="1:7">
      <c r="A837" s="39" t="str">
        <f>IF(Summary!A838&lt;&gt;"",Summary!A838,"")</f>
        <v/>
      </c>
      <c r="B837" s="21" t="str">
        <f>IF(Summary!J838&lt;&gt;"",Summary!J838,"")</f>
        <v/>
      </c>
      <c r="C837" s="44" t="str">
        <f>IF(Summary!E838+Summary!H838&gt;0,Summary!E838+Summary!H838,"")</f>
        <v/>
      </c>
      <c r="D837" s="40" t="str">
        <f>IF(Summary!L838&lt;&gt;"",Summary!L838,"")</f>
        <v/>
      </c>
      <c r="E837" s="40" t="str">
        <f>IF(Summary!M838&lt;&gt;"",Summary!M838,"")</f>
        <v/>
      </c>
      <c r="F837" s="20" t="str">
        <f>IF(Summary!N838&lt;&gt;"",Summary!N838,"")</f>
        <v/>
      </c>
      <c r="G837" s="20" t="str">
        <f>IF(Summary!O838&lt;&gt;"",Summary!O838,"")</f>
        <v/>
      </c>
    </row>
    <row r="838" spans="1:7">
      <c r="A838" s="39" t="str">
        <f>IF(Summary!A839&lt;&gt;"",Summary!A839,"")</f>
        <v/>
      </c>
      <c r="B838" s="21" t="str">
        <f>IF(Summary!J839&lt;&gt;"",Summary!J839,"")</f>
        <v/>
      </c>
      <c r="C838" s="44" t="str">
        <f>IF(Summary!E839+Summary!H839&gt;0,Summary!E839+Summary!H839,"")</f>
        <v/>
      </c>
      <c r="D838" s="40" t="str">
        <f>IF(Summary!L839&lt;&gt;"",Summary!L839,"")</f>
        <v/>
      </c>
      <c r="E838" s="40" t="str">
        <f>IF(Summary!M839&lt;&gt;"",Summary!M839,"")</f>
        <v/>
      </c>
      <c r="F838" s="20" t="str">
        <f>IF(Summary!N839&lt;&gt;"",Summary!N839,"")</f>
        <v/>
      </c>
      <c r="G838" s="20" t="str">
        <f>IF(Summary!O839&lt;&gt;"",Summary!O839,"")</f>
        <v/>
      </c>
    </row>
    <row r="839" spans="1:7">
      <c r="A839" s="39" t="str">
        <f>IF(Summary!A840&lt;&gt;"",Summary!A840,"")</f>
        <v/>
      </c>
      <c r="B839" s="21" t="str">
        <f>IF(Summary!J840&lt;&gt;"",Summary!J840,"")</f>
        <v/>
      </c>
      <c r="C839" s="44" t="str">
        <f>IF(Summary!E840+Summary!H840&gt;0,Summary!E840+Summary!H840,"")</f>
        <v/>
      </c>
      <c r="D839" s="40" t="str">
        <f>IF(Summary!L840&lt;&gt;"",Summary!L840,"")</f>
        <v/>
      </c>
      <c r="E839" s="40" t="str">
        <f>IF(Summary!M840&lt;&gt;"",Summary!M840,"")</f>
        <v/>
      </c>
      <c r="F839" s="20" t="str">
        <f>IF(Summary!N840&lt;&gt;"",Summary!N840,"")</f>
        <v/>
      </c>
      <c r="G839" s="20" t="str">
        <f>IF(Summary!O840&lt;&gt;"",Summary!O840,"")</f>
        <v/>
      </c>
    </row>
    <row r="840" spans="1:7">
      <c r="A840" s="39" t="str">
        <f>IF(Summary!A841&lt;&gt;"",Summary!A841,"")</f>
        <v/>
      </c>
      <c r="B840" s="21" t="str">
        <f>IF(Summary!J841&lt;&gt;"",Summary!J841,"")</f>
        <v/>
      </c>
      <c r="C840" s="44" t="str">
        <f>IF(Summary!E841+Summary!H841&gt;0,Summary!E841+Summary!H841,"")</f>
        <v/>
      </c>
      <c r="D840" s="40" t="str">
        <f>IF(Summary!L841&lt;&gt;"",Summary!L841,"")</f>
        <v/>
      </c>
      <c r="E840" s="40" t="str">
        <f>IF(Summary!M841&lt;&gt;"",Summary!M841,"")</f>
        <v/>
      </c>
      <c r="F840" s="20" t="str">
        <f>IF(Summary!N841&lt;&gt;"",Summary!N841,"")</f>
        <v/>
      </c>
      <c r="G840" s="20" t="str">
        <f>IF(Summary!O841&lt;&gt;"",Summary!O841,"")</f>
        <v/>
      </c>
    </row>
    <row r="841" spans="1:7">
      <c r="A841" s="39" t="str">
        <f>IF(Summary!A842&lt;&gt;"",Summary!A842,"")</f>
        <v/>
      </c>
      <c r="B841" s="21" t="str">
        <f>IF(Summary!J842&lt;&gt;"",Summary!J842,"")</f>
        <v/>
      </c>
      <c r="C841" s="44" t="str">
        <f>IF(Summary!E842+Summary!H842&gt;0,Summary!E842+Summary!H842,"")</f>
        <v/>
      </c>
      <c r="D841" s="40" t="str">
        <f>IF(Summary!L842&lt;&gt;"",Summary!L842,"")</f>
        <v/>
      </c>
      <c r="E841" s="40" t="str">
        <f>IF(Summary!M842&lt;&gt;"",Summary!M842,"")</f>
        <v/>
      </c>
      <c r="F841" s="20" t="str">
        <f>IF(Summary!N842&lt;&gt;"",Summary!N842,"")</f>
        <v/>
      </c>
      <c r="G841" s="20" t="str">
        <f>IF(Summary!O842&lt;&gt;"",Summary!O842,"")</f>
        <v/>
      </c>
    </row>
    <row r="842" spans="1:7">
      <c r="A842" s="39" t="str">
        <f>IF(Summary!A843&lt;&gt;"",Summary!A843,"")</f>
        <v/>
      </c>
      <c r="B842" s="21" t="str">
        <f>IF(Summary!J843&lt;&gt;"",Summary!J843,"")</f>
        <v/>
      </c>
      <c r="C842" s="44" t="str">
        <f>IF(Summary!E843+Summary!H843&gt;0,Summary!E843+Summary!H843,"")</f>
        <v/>
      </c>
      <c r="D842" s="40" t="str">
        <f>IF(Summary!L843&lt;&gt;"",Summary!L843,"")</f>
        <v/>
      </c>
      <c r="E842" s="40" t="str">
        <f>IF(Summary!M843&lt;&gt;"",Summary!M843,"")</f>
        <v/>
      </c>
      <c r="F842" s="20" t="str">
        <f>IF(Summary!N843&lt;&gt;"",Summary!N843,"")</f>
        <v/>
      </c>
      <c r="G842" s="20" t="str">
        <f>IF(Summary!O843&lt;&gt;"",Summary!O843,"")</f>
        <v/>
      </c>
    </row>
    <row r="843" spans="1:7">
      <c r="A843" s="39" t="str">
        <f>IF(Summary!A844&lt;&gt;"",Summary!A844,"")</f>
        <v/>
      </c>
      <c r="B843" s="21" t="str">
        <f>IF(Summary!J844&lt;&gt;"",Summary!J844,"")</f>
        <v/>
      </c>
      <c r="C843" s="44" t="str">
        <f>IF(Summary!E844+Summary!H844&gt;0,Summary!E844+Summary!H844,"")</f>
        <v/>
      </c>
      <c r="D843" s="40" t="str">
        <f>IF(Summary!L844&lt;&gt;"",Summary!L844,"")</f>
        <v/>
      </c>
      <c r="E843" s="40" t="str">
        <f>IF(Summary!M844&lt;&gt;"",Summary!M844,"")</f>
        <v/>
      </c>
      <c r="F843" s="20" t="str">
        <f>IF(Summary!N844&lt;&gt;"",Summary!N844,"")</f>
        <v/>
      </c>
      <c r="G843" s="20" t="str">
        <f>IF(Summary!O844&lt;&gt;"",Summary!O844,"")</f>
        <v/>
      </c>
    </row>
    <row r="844" spans="1:7">
      <c r="A844" s="39" t="str">
        <f>IF(Summary!A845&lt;&gt;"",Summary!A845,"")</f>
        <v/>
      </c>
      <c r="B844" s="21" t="str">
        <f>IF(Summary!J845&lt;&gt;"",Summary!J845,"")</f>
        <v/>
      </c>
      <c r="C844" s="44" t="str">
        <f>IF(Summary!E845+Summary!H845&gt;0,Summary!E845+Summary!H845,"")</f>
        <v/>
      </c>
      <c r="D844" s="40" t="str">
        <f>IF(Summary!L845&lt;&gt;"",Summary!L845,"")</f>
        <v/>
      </c>
      <c r="E844" s="40" t="str">
        <f>IF(Summary!M845&lt;&gt;"",Summary!M845,"")</f>
        <v/>
      </c>
      <c r="F844" s="20" t="str">
        <f>IF(Summary!N845&lt;&gt;"",Summary!N845,"")</f>
        <v/>
      </c>
      <c r="G844" s="20" t="str">
        <f>IF(Summary!O845&lt;&gt;"",Summary!O845,"")</f>
        <v/>
      </c>
    </row>
    <row r="845" spans="1:7">
      <c r="A845" s="39" t="str">
        <f>IF(Summary!A846&lt;&gt;"",Summary!A846,"")</f>
        <v/>
      </c>
      <c r="B845" s="21" t="str">
        <f>IF(Summary!J846&lt;&gt;"",Summary!J846,"")</f>
        <v/>
      </c>
      <c r="C845" s="44" t="str">
        <f>IF(Summary!E846+Summary!H846&gt;0,Summary!E846+Summary!H846,"")</f>
        <v/>
      </c>
      <c r="D845" s="40" t="str">
        <f>IF(Summary!L846&lt;&gt;"",Summary!L846,"")</f>
        <v/>
      </c>
      <c r="E845" s="40" t="str">
        <f>IF(Summary!M846&lt;&gt;"",Summary!M846,"")</f>
        <v/>
      </c>
      <c r="F845" s="20" t="str">
        <f>IF(Summary!N846&lt;&gt;"",Summary!N846,"")</f>
        <v/>
      </c>
      <c r="G845" s="20" t="str">
        <f>IF(Summary!O846&lt;&gt;"",Summary!O846,"")</f>
        <v/>
      </c>
    </row>
    <row r="846" spans="1:7">
      <c r="A846" s="39" t="str">
        <f>IF(Summary!A847&lt;&gt;"",Summary!A847,"")</f>
        <v/>
      </c>
      <c r="B846" s="21" t="str">
        <f>IF(Summary!J847&lt;&gt;"",Summary!J847,"")</f>
        <v/>
      </c>
      <c r="C846" s="44" t="str">
        <f>IF(Summary!E847+Summary!H847&gt;0,Summary!E847+Summary!H847,"")</f>
        <v/>
      </c>
      <c r="D846" s="40" t="str">
        <f>IF(Summary!L847&lt;&gt;"",Summary!L847,"")</f>
        <v/>
      </c>
      <c r="E846" s="40" t="str">
        <f>IF(Summary!M847&lt;&gt;"",Summary!M847,"")</f>
        <v/>
      </c>
      <c r="F846" s="20" t="str">
        <f>IF(Summary!N847&lt;&gt;"",Summary!N847,"")</f>
        <v/>
      </c>
      <c r="G846" s="20" t="str">
        <f>IF(Summary!O847&lt;&gt;"",Summary!O847,"")</f>
        <v/>
      </c>
    </row>
    <row r="847" spans="1:7">
      <c r="A847" s="39" t="str">
        <f>IF(Summary!A848&lt;&gt;"",Summary!A848,"")</f>
        <v/>
      </c>
      <c r="B847" s="21" t="str">
        <f>IF(Summary!J848&lt;&gt;"",Summary!J848,"")</f>
        <v/>
      </c>
      <c r="C847" s="44" t="str">
        <f>IF(Summary!E848+Summary!H848&gt;0,Summary!E848+Summary!H848,"")</f>
        <v/>
      </c>
      <c r="D847" s="40" t="str">
        <f>IF(Summary!L848&lt;&gt;"",Summary!L848,"")</f>
        <v/>
      </c>
      <c r="E847" s="40" t="str">
        <f>IF(Summary!M848&lt;&gt;"",Summary!M848,"")</f>
        <v/>
      </c>
      <c r="F847" s="20" t="str">
        <f>IF(Summary!N848&lt;&gt;"",Summary!N848,"")</f>
        <v/>
      </c>
      <c r="G847" s="20" t="str">
        <f>IF(Summary!O848&lt;&gt;"",Summary!O848,"")</f>
        <v/>
      </c>
    </row>
    <row r="848" spans="1:7">
      <c r="A848" s="39" t="str">
        <f>IF(Summary!A849&lt;&gt;"",Summary!A849,"")</f>
        <v/>
      </c>
      <c r="B848" s="21" t="str">
        <f>IF(Summary!J849&lt;&gt;"",Summary!J849,"")</f>
        <v/>
      </c>
      <c r="C848" s="44" t="str">
        <f>IF(Summary!E849+Summary!H849&gt;0,Summary!E849+Summary!H849,"")</f>
        <v/>
      </c>
      <c r="D848" s="40" t="str">
        <f>IF(Summary!L849&lt;&gt;"",Summary!L849,"")</f>
        <v/>
      </c>
      <c r="E848" s="40" t="str">
        <f>IF(Summary!M849&lt;&gt;"",Summary!M849,"")</f>
        <v/>
      </c>
      <c r="F848" s="20" t="str">
        <f>IF(Summary!N849&lt;&gt;"",Summary!N849,"")</f>
        <v/>
      </c>
      <c r="G848" s="20" t="str">
        <f>IF(Summary!O849&lt;&gt;"",Summary!O849,"")</f>
        <v/>
      </c>
    </row>
    <row r="849" spans="1:7">
      <c r="A849" s="39" t="str">
        <f>IF(Summary!A850&lt;&gt;"",Summary!A850,"")</f>
        <v/>
      </c>
      <c r="B849" s="21" t="str">
        <f>IF(Summary!J850&lt;&gt;"",Summary!J850,"")</f>
        <v/>
      </c>
      <c r="C849" s="44" t="str">
        <f>IF(Summary!E850+Summary!H850&gt;0,Summary!E850+Summary!H850,"")</f>
        <v/>
      </c>
      <c r="D849" s="40" t="str">
        <f>IF(Summary!L850&lt;&gt;"",Summary!L850,"")</f>
        <v/>
      </c>
      <c r="E849" s="40" t="str">
        <f>IF(Summary!M850&lt;&gt;"",Summary!M850,"")</f>
        <v/>
      </c>
      <c r="F849" s="20" t="str">
        <f>IF(Summary!N850&lt;&gt;"",Summary!N850,"")</f>
        <v/>
      </c>
      <c r="G849" s="20" t="str">
        <f>IF(Summary!O850&lt;&gt;"",Summary!O850,"")</f>
        <v/>
      </c>
    </row>
    <row r="850" spans="1:7">
      <c r="A850" s="39" t="str">
        <f>IF(Summary!A851&lt;&gt;"",Summary!A851,"")</f>
        <v/>
      </c>
      <c r="B850" s="21" t="str">
        <f>IF(Summary!J851&lt;&gt;"",Summary!J851,"")</f>
        <v/>
      </c>
      <c r="C850" s="44" t="str">
        <f>IF(Summary!E851+Summary!H851&gt;0,Summary!E851+Summary!H851,"")</f>
        <v/>
      </c>
      <c r="D850" s="40" t="str">
        <f>IF(Summary!L851&lt;&gt;"",Summary!L851,"")</f>
        <v/>
      </c>
      <c r="E850" s="40" t="str">
        <f>IF(Summary!M851&lt;&gt;"",Summary!M851,"")</f>
        <v/>
      </c>
      <c r="F850" s="20" t="str">
        <f>IF(Summary!N851&lt;&gt;"",Summary!N851,"")</f>
        <v/>
      </c>
      <c r="G850" s="20" t="str">
        <f>IF(Summary!O851&lt;&gt;"",Summary!O851,"")</f>
        <v/>
      </c>
    </row>
    <row r="851" spans="1:7">
      <c r="A851" s="39" t="str">
        <f>IF(Summary!A852&lt;&gt;"",Summary!A852,"")</f>
        <v/>
      </c>
      <c r="B851" s="21" t="str">
        <f>IF(Summary!J852&lt;&gt;"",Summary!J852,"")</f>
        <v/>
      </c>
      <c r="C851" s="44" t="str">
        <f>IF(Summary!E852+Summary!H852&gt;0,Summary!E852+Summary!H852,"")</f>
        <v/>
      </c>
      <c r="D851" s="40" t="str">
        <f>IF(Summary!L852&lt;&gt;"",Summary!L852,"")</f>
        <v/>
      </c>
      <c r="E851" s="40" t="str">
        <f>IF(Summary!M852&lt;&gt;"",Summary!M852,"")</f>
        <v/>
      </c>
      <c r="F851" s="20" t="str">
        <f>IF(Summary!N852&lt;&gt;"",Summary!N852,"")</f>
        <v/>
      </c>
      <c r="G851" s="20" t="str">
        <f>IF(Summary!O852&lt;&gt;"",Summary!O852,"")</f>
        <v/>
      </c>
    </row>
    <row r="852" spans="1:7">
      <c r="A852" s="39" t="str">
        <f>IF(Summary!A853&lt;&gt;"",Summary!A853,"")</f>
        <v/>
      </c>
      <c r="B852" s="21" t="str">
        <f>IF(Summary!J853&lt;&gt;"",Summary!J853,"")</f>
        <v/>
      </c>
      <c r="C852" s="44" t="str">
        <f>IF(Summary!E853+Summary!H853&gt;0,Summary!E853+Summary!H853,"")</f>
        <v/>
      </c>
      <c r="D852" s="40" t="str">
        <f>IF(Summary!L853&lt;&gt;"",Summary!L853,"")</f>
        <v/>
      </c>
      <c r="E852" s="40" t="str">
        <f>IF(Summary!M853&lt;&gt;"",Summary!M853,"")</f>
        <v/>
      </c>
      <c r="F852" s="20" t="str">
        <f>IF(Summary!N853&lt;&gt;"",Summary!N853,"")</f>
        <v/>
      </c>
      <c r="G852" s="20" t="str">
        <f>IF(Summary!O853&lt;&gt;"",Summary!O853,"")</f>
        <v/>
      </c>
    </row>
    <row r="853" spans="1:7">
      <c r="A853" s="39" t="str">
        <f>IF(Summary!A854&lt;&gt;"",Summary!A854,"")</f>
        <v/>
      </c>
      <c r="B853" s="21" t="str">
        <f>IF(Summary!J854&lt;&gt;"",Summary!J854,"")</f>
        <v/>
      </c>
      <c r="C853" s="44" t="str">
        <f>IF(Summary!E854+Summary!H854&gt;0,Summary!E854+Summary!H854,"")</f>
        <v/>
      </c>
      <c r="D853" s="40" t="str">
        <f>IF(Summary!L854&lt;&gt;"",Summary!L854,"")</f>
        <v/>
      </c>
      <c r="E853" s="40" t="str">
        <f>IF(Summary!M854&lt;&gt;"",Summary!M854,"")</f>
        <v/>
      </c>
      <c r="F853" s="20" t="str">
        <f>IF(Summary!N854&lt;&gt;"",Summary!N854,"")</f>
        <v/>
      </c>
      <c r="G853" s="20" t="str">
        <f>IF(Summary!O854&lt;&gt;"",Summary!O854,"")</f>
        <v/>
      </c>
    </row>
    <row r="854" spans="1:7">
      <c r="A854" s="39" t="str">
        <f>IF(Summary!A855&lt;&gt;"",Summary!A855,"")</f>
        <v/>
      </c>
      <c r="B854" s="21" t="str">
        <f>IF(Summary!J855&lt;&gt;"",Summary!J855,"")</f>
        <v/>
      </c>
      <c r="C854" s="44" t="str">
        <f>IF(Summary!E855+Summary!H855&gt;0,Summary!E855+Summary!H855,"")</f>
        <v/>
      </c>
      <c r="D854" s="40" t="str">
        <f>IF(Summary!L855&lt;&gt;"",Summary!L855,"")</f>
        <v/>
      </c>
      <c r="E854" s="40" t="str">
        <f>IF(Summary!M855&lt;&gt;"",Summary!M855,"")</f>
        <v/>
      </c>
      <c r="F854" s="20" t="str">
        <f>IF(Summary!N855&lt;&gt;"",Summary!N855,"")</f>
        <v/>
      </c>
      <c r="G854" s="20" t="str">
        <f>IF(Summary!O855&lt;&gt;"",Summary!O855,"")</f>
        <v/>
      </c>
    </row>
    <row r="855" spans="1:7">
      <c r="A855" s="39" t="str">
        <f>IF(Summary!A856&lt;&gt;"",Summary!A856,"")</f>
        <v/>
      </c>
      <c r="B855" s="21" t="str">
        <f>IF(Summary!J856&lt;&gt;"",Summary!J856,"")</f>
        <v/>
      </c>
      <c r="C855" s="44" t="str">
        <f>IF(Summary!E856+Summary!H856&gt;0,Summary!E856+Summary!H856,"")</f>
        <v/>
      </c>
      <c r="D855" s="40" t="str">
        <f>IF(Summary!L856&lt;&gt;"",Summary!L856,"")</f>
        <v/>
      </c>
      <c r="E855" s="40" t="str">
        <f>IF(Summary!M856&lt;&gt;"",Summary!M856,"")</f>
        <v/>
      </c>
      <c r="F855" s="20" t="str">
        <f>IF(Summary!N856&lt;&gt;"",Summary!N856,"")</f>
        <v/>
      </c>
      <c r="G855" s="20" t="str">
        <f>IF(Summary!O856&lt;&gt;"",Summary!O856,"")</f>
        <v/>
      </c>
    </row>
    <row r="856" spans="1:7">
      <c r="A856" s="39" t="str">
        <f>IF(Summary!A857&lt;&gt;"",Summary!A857,"")</f>
        <v/>
      </c>
      <c r="B856" s="21" t="str">
        <f>IF(Summary!J857&lt;&gt;"",Summary!J857,"")</f>
        <v/>
      </c>
      <c r="C856" s="44" t="str">
        <f>IF(Summary!E857+Summary!H857&gt;0,Summary!E857+Summary!H857,"")</f>
        <v/>
      </c>
      <c r="D856" s="40" t="str">
        <f>IF(Summary!L857&lt;&gt;"",Summary!L857,"")</f>
        <v/>
      </c>
      <c r="E856" s="40" t="str">
        <f>IF(Summary!M857&lt;&gt;"",Summary!M857,"")</f>
        <v/>
      </c>
      <c r="F856" s="20" t="str">
        <f>IF(Summary!N857&lt;&gt;"",Summary!N857,"")</f>
        <v/>
      </c>
      <c r="G856" s="20" t="str">
        <f>IF(Summary!O857&lt;&gt;"",Summary!O857,"")</f>
        <v/>
      </c>
    </row>
    <row r="857" spans="1:7">
      <c r="A857" s="39" t="str">
        <f>IF(Summary!A858&lt;&gt;"",Summary!A858,"")</f>
        <v/>
      </c>
      <c r="B857" s="21" t="str">
        <f>IF(Summary!J858&lt;&gt;"",Summary!J858,"")</f>
        <v/>
      </c>
      <c r="C857" s="44" t="str">
        <f>IF(Summary!E858+Summary!H858&gt;0,Summary!E858+Summary!H858,"")</f>
        <v/>
      </c>
      <c r="D857" s="40" t="str">
        <f>IF(Summary!L858&lt;&gt;"",Summary!L858,"")</f>
        <v/>
      </c>
      <c r="E857" s="40" t="str">
        <f>IF(Summary!M858&lt;&gt;"",Summary!M858,"")</f>
        <v/>
      </c>
      <c r="F857" s="20" t="str">
        <f>IF(Summary!N858&lt;&gt;"",Summary!N858,"")</f>
        <v/>
      </c>
      <c r="G857" s="20" t="str">
        <f>IF(Summary!O858&lt;&gt;"",Summary!O858,"")</f>
        <v/>
      </c>
    </row>
    <row r="858" spans="1:7">
      <c r="A858" s="39" t="str">
        <f>IF(Summary!A859&lt;&gt;"",Summary!A859,"")</f>
        <v/>
      </c>
      <c r="B858" s="21" t="str">
        <f>IF(Summary!J859&lt;&gt;"",Summary!J859,"")</f>
        <v/>
      </c>
      <c r="C858" s="44" t="str">
        <f>IF(Summary!E859+Summary!H859&gt;0,Summary!E859+Summary!H859,"")</f>
        <v/>
      </c>
      <c r="D858" s="40" t="str">
        <f>IF(Summary!L859&lt;&gt;"",Summary!L859,"")</f>
        <v/>
      </c>
      <c r="E858" s="40" t="str">
        <f>IF(Summary!M859&lt;&gt;"",Summary!M859,"")</f>
        <v/>
      </c>
      <c r="F858" s="20" t="str">
        <f>IF(Summary!N859&lt;&gt;"",Summary!N859,"")</f>
        <v/>
      </c>
      <c r="G858" s="20" t="str">
        <f>IF(Summary!O859&lt;&gt;"",Summary!O859,"")</f>
        <v/>
      </c>
    </row>
    <row r="859" spans="1:7">
      <c r="A859" s="39" t="str">
        <f>IF(Summary!A860&lt;&gt;"",Summary!A860,"")</f>
        <v/>
      </c>
      <c r="B859" s="21" t="str">
        <f>IF(Summary!J860&lt;&gt;"",Summary!J860,"")</f>
        <v/>
      </c>
      <c r="C859" s="44" t="str">
        <f>IF(Summary!E860+Summary!H860&gt;0,Summary!E860+Summary!H860,"")</f>
        <v/>
      </c>
      <c r="D859" s="40" t="str">
        <f>IF(Summary!L860&lt;&gt;"",Summary!L860,"")</f>
        <v/>
      </c>
      <c r="E859" s="40" t="str">
        <f>IF(Summary!M860&lt;&gt;"",Summary!M860,"")</f>
        <v/>
      </c>
      <c r="F859" s="20" t="str">
        <f>IF(Summary!N860&lt;&gt;"",Summary!N860,"")</f>
        <v/>
      </c>
      <c r="G859" s="20" t="str">
        <f>IF(Summary!O860&lt;&gt;"",Summary!O860,"")</f>
        <v/>
      </c>
    </row>
    <row r="860" spans="1:7">
      <c r="A860" s="39" t="str">
        <f>IF(Summary!A861&lt;&gt;"",Summary!A861,"")</f>
        <v/>
      </c>
      <c r="B860" s="21" t="str">
        <f>IF(Summary!J861&lt;&gt;"",Summary!J861,"")</f>
        <v/>
      </c>
      <c r="C860" s="44" t="str">
        <f>IF(Summary!E861+Summary!H861&gt;0,Summary!E861+Summary!H861,"")</f>
        <v/>
      </c>
      <c r="D860" s="40" t="str">
        <f>IF(Summary!L861&lt;&gt;"",Summary!L861,"")</f>
        <v/>
      </c>
      <c r="E860" s="40" t="str">
        <f>IF(Summary!M861&lt;&gt;"",Summary!M861,"")</f>
        <v/>
      </c>
      <c r="F860" s="20" t="str">
        <f>IF(Summary!N861&lt;&gt;"",Summary!N861,"")</f>
        <v/>
      </c>
      <c r="G860" s="20" t="str">
        <f>IF(Summary!O861&lt;&gt;"",Summary!O861,"")</f>
        <v/>
      </c>
    </row>
    <row r="861" spans="1:7">
      <c r="A861" s="39" t="str">
        <f>IF(Summary!A862&lt;&gt;"",Summary!A862,"")</f>
        <v/>
      </c>
      <c r="B861" s="21" t="str">
        <f>IF(Summary!J862&lt;&gt;"",Summary!J862,"")</f>
        <v/>
      </c>
      <c r="C861" s="44" t="str">
        <f>IF(Summary!E862+Summary!H862&gt;0,Summary!E862+Summary!H862,"")</f>
        <v/>
      </c>
      <c r="D861" s="40" t="str">
        <f>IF(Summary!L862&lt;&gt;"",Summary!L862,"")</f>
        <v/>
      </c>
      <c r="E861" s="40" t="str">
        <f>IF(Summary!M862&lt;&gt;"",Summary!M862,"")</f>
        <v/>
      </c>
      <c r="F861" s="20" t="str">
        <f>IF(Summary!N862&lt;&gt;"",Summary!N862,"")</f>
        <v/>
      </c>
      <c r="G861" s="20" t="str">
        <f>IF(Summary!O862&lt;&gt;"",Summary!O862,"")</f>
        <v/>
      </c>
    </row>
    <row r="862" spans="1:7">
      <c r="A862" s="39" t="str">
        <f>IF(Summary!A863&lt;&gt;"",Summary!A863,"")</f>
        <v/>
      </c>
      <c r="B862" s="21" t="str">
        <f>IF(Summary!J863&lt;&gt;"",Summary!J863,"")</f>
        <v/>
      </c>
      <c r="C862" s="44" t="str">
        <f>IF(Summary!E863+Summary!H863&gt;0,Summary!E863+Summary!H863,"")</f>
        <v/>
      </c>
      <c r="D862" s="40" t="str">
        <f>IF(Summary!L863&lt;&gt;"",Summary!L863,"")</f>
        <v/>
      </c>
      <c r="E862" s="40" t="str">
        <f>IF(Summary!M863&lt;&gt;"",Summary!M863,"")</f>
        <v/>
      </c>
      <c r="F862" s="20" t="str">
        <f>IF(Summary!N863&lt;&gt;"",Summary!N863,"")</f>
        <v/>
      </c>
      <c r="G862" s="20" t="str">
        <f>IF(Summary!O863&lt;&gt;"",Summary!O863,"")</f>
        <v/>
      </c>
    </row>
    <row r="863" spans="1:7">
      <c r="A863" s="39" t="str">
        <f>IF(Summary!A864&lt;&gt;"",Summary!A864,"")</f>
        <v/>
      </c>
      <c r="B863" s="21" t="str">
        <f>IF(Summary!J864&lt;&gt;"",Summary!J864,"")</f>
        <v/>
      </c>
      <c r="C863" s="44" t="str">
        <f>IF(Summary!E864+Summary!H864&gt;0,Summary!E864+Summary!H864,"")</f>
        <v/>
      </c>
      <c r="D863" s="40" t="str">
        <f>IF(Summary!L864&lt;&gt;"",Summary!L864,"")</f>
        <v/>
      </c>
      <c r="E863" s="40" t="str">
        <f>IF(Summary!M864&lt;&gt;"",Summary!M864,"")</f>
        <v/>
      </c>
      <c r="F863" s="20" t="str">
        <f>IF(Summary!N864&lt;&gt;"",Summary!N864,"")</f>
        <v/>
      </c>
      <c r="G863" s="20" t="str">
        <f>IF(Summary!O864&lt;&gt;"",Summary!O864,"")</f>
        <v/>
      </c>
    </row>
    <row r="864" spans="1:7">
      <c r="A864" s="39" t="str">
        <f>IF(Summary!A865&lt;&gt;"",Summary!A865,"")</f>
        <v/>
      </c>
      <c r="B864" s="21" t="str">
        <f>IF(Summary!J865&lt;&gt;"",Summary!J865,"")</f>
        <v/>
      </c>
      <c r="C864" s="44" t="str">
        <f>IF(Summary!E865+Summary!H865&gt;0,Summary!E865+Summary!H865,"")</f>
        <v/>
      </c>
      <c r="D864" s="40" t="str">
        <f>IF(Summary!L865&lt;&gt;"",Summary!L865,"")</f>
        <v/>
      </c>
      <c r="E864" s="40" t="str">
        <f>IF(Summary!M865&lt;&gt;"",Summary!M865,"")</f>
        <v/>
      </c>
      <c r="F864" s="20" t="str">
        <f>IF(Summary!N865&lt;&gt;"",Summary!N865,"")</f>
        <v/>
      </c>
      <c r="G864" s="20" t="str">
        <f>IF(Summary!O865&lt;&gt;"",Summary!O865,"")</f>
        <v/>
      </c>
    </row>
    <row r="865" spans="1:7">
      <c r="A865" s="39" t="str">
        <f>IF(Summary!A866&lt;&gt;"",Summary!A866,"")</f>
        <v/>
      </c>
      <c r="B865" s="21" t="str">
        <f>IF(Summary!J866&lt;&gt;"",Summary!J866,"")</f>
        <v/>
      </c>
      <c r="C865" s="44" t="str">
        <f>IF(Summary!E866+Summary!H866&gt;0,Summary!E866+Summary!H866,"")</f>
        <v/>
      </c>
      <c r="D865" s="40" t="str">
        <f>IF(Summary!L866&lt;&gt;"",Summary!L866,"")</f>
        <v/>
      </c>
      <c r="E865" s="40" t="str">
        <f>IF(Summary!M866&lt;&gt;"",Summary!M866,"")</f>
        <v/>
      </c>
      <c r="F865" s="20" t="str">
        <f>IF(Summary!N866&lt;&gt;"",Summary!N866,"")</f>
        <v/>
      </c>
      <c r="G865" s="20" t="str">
        <f>IF(Summary!O866&lt;&gt;"",Summary!O866,"")</f>
        <v/>
      </c>
    </row>
    <row r="866" spans="1:7">
      <c r="A866" s="39" t="str">
        <f>IF(Summary!A867&lt;&gt;"",Summary!A867,"")</f>
        <v/>
      </c>
      <c r="B866" s="21" t="str">
        <f>IF(Summary!J867&lt;&gt;"",Summary!J867,"")</f>
        <v/>
      </c>
      <c r="C866" s="44" t="str">
        <f>IF(Summary!E867+Summary!H867&gt;0,Summary!E867+Summary!H867,"")</f>
        <v/>
      </c>
      <c r="D866" s="40" t="str">
        <f>IF(Summary!L867&lt;&gt;"",Summary!L867,"")</f>
        <v/>
      </c>
      <c r="E866" s="40" t="str">
        <f>IF(Summary!M867&lt;&gt;"",Summary!M867,"")</f>
        <v/>
      </c>
      <c r="F866" s="20" t="str">
        <f>IF(Summary!N867&lt;&gt;"",Summary!N867,"")</f>
        <v/>
      </c>
      <c r="G866" s="20" t="str">
        <f>IF(Summary!O867&lt;&gt;"",Summary!O867,"")</f>
        <v/>
      </c>
    </row>
    <row r="867" spans="1:7">
      <c r="A867" s="39" t="str">
        <f>IF(Summary!A868&lt;&gt;"",Summary!A868,"")</f>
        <v/>
      </c>
      <c r="B867" s="21" t="str">
        <f>IF(Summary!J868&lt;&gt;"",Summary!J868,"")</f>
        <v/>
      </c>
      <c r="C867" s="44" t="str">
        <f>IF(Summary!E868+Summary!H868&gt;0,Summary!E868+Summary!H868,"")</f>
        <v/>
      </c>
      <c r="D867" s="40" t="str">
        <f>IF(Summary!L868&lt;&gt;"",Summary!L868,"")</f>
        <v/>
      </c>
      <c r="E867" s="40" t="str">
        <f>IF(Summary!M868&lt;&gt;"",Summary!M868,"")</f>
        <v/>
      </c>
      <c r="F867" s="20" t="str">
        <f>IF(Summary!N868&lt;&gt;"",Summary!N868,"")</f>
        <v/>
      </c>
      <c r="G867" s="20" t="str">
        <f>IF(Summary!O868&lt;&gt;"",Summary!O868,"")</f>
        <v/>
      </c>
    </row>
    <row r="868" spans="1:7">
      <c r="A868" s="39" t="str">
        <f>IF(Summary!A869&lt;&gt;"",Summary!A869,"")</f>
        <v/>
      </c>
      <c r="B868" s="21" t="str">
        <f>IF(Summary!J869&lt;&gt;"",Summary!J869,"")</f>
        <v/>
      </c>
      <c r="C868" s="44" t="str">
        <f>IF(Summary!E869+Summary!H869&gt;0,Summary!E869+Summary!H869,"")</f>
        <v/>
      </c>
      <c r="D868" s="40" t="str">
        <f>IF(Summary!L869&lt;&gt;"",Summary!L869,"")</f>
        <v/>
      </c>
      <c r="E868" s="40" t="str">
        <f>IF(Summary!M869&lt;&gt;"",Summary!M869,"")</f>
        <v/>
      </c>
      <c r="F868" s="20" t="str">
        <f>IF(Summary!N869&lt;&gt;"",Summary!N869,"")</f>
        <v/>
      </c>
      <c r="G868" s="20" t="str">
        <f>IF(Summary!O869&lt;&gt;"",Summary!O869,"")</f>
        <v/>
      </c>
    </row>
    <row r="869" spans="1:7">
      <c r="A869" s="39" t="str">
        <f>IF(Summary!A870&lt;&gt;"",Summary!A870,"")</f>
        <v/>
      </c>
      <c r="B869" s="21" t="str">
        <f>IF(Summary!J870&lt;&gt;"",Summary!J870,"")</f>
        <v/>
      </c>
      <c r="C869" s="44" t="str">
        <f>IF(Summary!E870+Summary!H870&gt;0,Summary!E870+Summary!H870,"")</f>
        <v/>
      </c>
      <c r="D869" s="40" t="str">
        <f>IF(Summary!L870&lt;&gt;"",Summary!L870,"")</f>
        <v/>
      </c>
      <c r="E869" s="40" t="str">
        <f>IF(Summary!M870&lt;&gt;"",Summary!M870,"")</f>
        <v/>
      </c>
      <c r="F869" s="20" t="str">
        <f>IF(Summary!N870&lt;&gt;"",Summary!N870,"")</f>
        <v/>
      </c>
      <c r="G869" s="20" t="str">
        <f>IF(Summary!O870&lt;&gt;"",Summary!O870,"")</f>
        <v/>
      </c>
    </row>
    <row r="870" spans="1:7">
      <c r="A870" s="39" t="str">
        <f>IF(Summary!A871&lt;&gt;"",Summary!A871,"")</f>
        <v/>
      </c>
      <c r="B870" s="21" t="str">
        <f>IF(Summary!J871&lt;&gt;"",Summary!J871,"")</f>
        <v/>
      </c>
      <c r="C870" s="44" t="str">
        <f>IF(Summary!E871+Summary!H871&gt;0,Summary!E871+Summary!H871,"")</f>
        <v/>
      </c>
      <c r="D870" s="40" t="str">
        <f>IF(Summary!L871&lt;&gt;"",Summary!L871,"")</f>
        <v/>
      </c>
      <c r="E870" s="40" t="str">
        <f>IF(Summary!M871&lt;&gt;"",Summary!M871,"")</f>
        <v/>
      </c>
      <c r="F870" s="20" t="str">
        <f>IF(Summary!N871&lt;&gt;"",Summary!N871,"")</f>
        <v/>
      </c>
      <c r="G870" s="20" t="str">
        <f>IF(Summary!O871&lt;&gt;"",Summary!O871,"")</f>
        <v/>
      </c>
    </row>
    <row r="871" spans="1:7">
      <c r="A871" s="39" t="str">
        <f>IF(Summary!A872&lt;&gt;"",Summary!A872,"")</f>
        <v/>
      </c>
      <c r="B871" s="21" t="str">
        <f>IF(Summary!J872&lt;&gt;"",Summary!J872,"")</f>
        <v/>
      </c>
      <c r="C871" s="44" t="str">
        <f>IF(Summary!E872+Summary!H872&gt;0,Summary!E872+Summary!H872,"")</f>
        <v/>
      </c>
      <c r="D871" s="40" t="str">
        <f>IF(Summary!L872&lt;&gt;"",Summary!L872,"")</f>
        <v/>
      </c>
      <c r="E871" s="40" t="str">
        <f>IF(Summary!M872&lt;&gt;"",Summary!M872,"")</f>
        <v/>
      </c>
      <c r="F871" s="20" t="str">
        <f>IF(Summary!N872&lt;&gt;"",Summary!N872,"")</f>
        <v/>
      </c>
      <c r="G871" s="20" t="str">
        <f>IF(Summary!O872&lt;&gt;"",Summary!O872,"")</f>
        <v/>
      </c>
    </row>
    <row r="872" spans="1:7">
      <c r="A872" s="39" t="str">
        <f>IF(Summary!A873&lt;&gt;"",Summary!A873,"")</f>
        <v/>
      </c>
      <c r="B872" s="21" t="str">
        <f>IF(Summary!J873&lt;&gt;"",Summary!J873,"")</f>
        <v/>
      </c>
      <c r="C872" s="44" t="str">
        <f>IF(Summary!E873+Summary!H873&gt;0,Summary!E873+Summary!H873,"")</f>
        <v/>
      </c>
      <c r="D872" s="40" t="str">
        <f>IF(Summary!L873&lt;&gt;"",Summary!L873,"")</f>
        <v/>
      </c>
      <c r="E872" s="40" t="str">
        <f>IF(Summary!M873&lt;&gt;"",Summary!M873,"")</f>
        <v/>
      </c>
      <c r="F872" s="20" t="str">
        <f>IF(Summary!N873&lt;&gt;"",Summary!N873,"")</f>
        <v/>
      </c>
      <c r="G872" s="20" t="str">
        <f>IF(Summary!O873&lt;&gt;"",Summary!O873,"")</f>
        <v/>
      </c>
    </row>
    <row r="873" spans="1:7">
      <c r="A873" s="39" t="str">
        <f>IF(Summary!A874&lt;&gt;"",Summary!A874,"")</f>
        <v/>
      </c>
      <c r="B873" s="21" t="str">
        <f>IF(Summary!J874&lt;&gt;"",Summary!J874,"")</f>
        <v/>
      </c>
      <c r="C873" s="44" t="str">
        <f>IF(Summary!E874+Summary!H874&gt;0,Summary!E874+Summary!H874,"")</f>
        <v/>
      </c>
      <c r="D873" s="40" t="str">
        <f>IF(Summary!L874&lt;&gt;"",Summary!L874,"")</f>
        <v/>
      </c>
      <c r="E873" s="40" t="str">
        <f>IF(Summary!M874&lt;&gt;"",Summary!M874,"")</f>
        <v/>
      </c>
      <c r="F873" s="20" t="str">
        <f>IF(Summary!N874&lt;&gt;"",Summary!N874,"")</f>
        <v/>
      </c>
      <c r="G873" s="20" t="str">
        <f>IF(Summary!O874&lt;&gt;"",Summary!O874,"")</f>
        <v/>
      </c>
    </row>
    <row r="874" spans="1:7">
      <c r="A874" s="39" t="str">
        <f>IF(Summary!A875&lt;&gt;"",Summary!A875,"")</f>
        <v/>
      </c>
      <c r="B874" s="21" t="str">
        <f>IF(Summary!J875&lt;&gt;"",Summary!J875,"")</f>
        <v/>
      </c>
      <c r="C874" s="44" t="str">
        <f>IF(Summary!E875+Summary!H875&gt;0,Summary!E875+Summary!H875,"")</f>
        <v/>
      </c>
      <c r="D874" s="40" t="str">
        <f>IF(Summary!L875&lt;&gt;"",Summary!L875,"")</f>
        <v/>
      </c>
      <c r="E874" s="40" t="str">
        <f>IF(Summary!M875&lt;&gt;"",Summary!M875,"")</f>
        <v/>
      </c>
      <c r="F874" s="20" t="str">
        <f>IF(Summary!N875&lt;&gt;"",Summary!N875,"")</f>
        <v/>
      </c>
      <c r="G874" s="20" t="str">
        <f>IF(Summary!O875&lt;&gt;"",Summary!O875,"")</f>
        <v/>
      </c>
    </row>
    <row r="875" spans="1:7">
      <c r="A875" s="39" t="str">
        <f>IF(Summary!A876&lt;&gt;"",Summary!A876,"")</f>
        <v/>
      </c>
      <c r="B875" s="21" t="str">
        <f>IF(Summary!J876&lt;&gt;"",Summary!J876,"")</f>
        <v/>
      </c>
      <c r="C875" s="44" t="str">
        <f>IF(Summary!E876+Summary!H876&gt;0,Summary!E876+Summary!H876,"")</f>
        <v/>
      </c>
      <c r="D875" s="40" t="str">
        <f>IF(Summary!L876&lt;&gt;"",Summary!L876,"")</f>
        <v/>
      </c>
      <c r="E875" s="40" t="str">
        <f>IF(Summary!M876&lt;&gt;"",Summary!M876,"")</f>
        <v/>
      </c>
      <c r="F875" s="20" t="str">
        <f>IF(Summary!N876&lt;&gt;"",Summary!N876,"")</f>
        <v/>
      </c>
      <c r="G875" s="20" t="str">
        <f>IF(Summary!O876&lt;&gt;"",Summary!O876,"")</f>
        <v/>
      </c>
    </row>
    <row r="876" spans="1:7">
      <c r="A876" s="39" t="str">
        <f>IF(Summary!A877&lt;&gt;"",Summary!A877,"")</f>
        <v/>
      </c>
      <c r="B876" s="21" t="str">
        <f>IF(Summary!J877&lt;&gt;"",Summary!J877,"")</f>
        <v/>
      </c>
      <c r="C876" s="44" t="str">
        <f>IF(Summary!E877+Summary!H877&gt;0,Summary!E877+Summary!H877,"")</f>
        <v/>
      </c>
      <c r="D876" s="40" t="str">
        <f>IF(Summary!L877&lt;&gt;"",Summary!L877,"")</f>
        <v/>
      </c>
      <c r="E876" s="40" t="str">
        <f>IF(Summary!M877&lt;&gt;"",Summary!M877,"")</f>
        <v/>
      </c>
      <c r="F876" s="20" t="str">
        <f>IF(Summary!N877&lt;&gt;"",Summary!N877,"")</f>
        <v/>
      </c>
      <c r="G876" s="20" t="str">
        <f>IF(Summary!O877&lt;&gt;"",Summary!O877,"")</f>
        <v/>
      </c>
    </row>
    <row r="877" spans="1:7">
      <c r="A877" s="39" t="str">
        <f>IF(Summary!A878&lt;&gt;"",Summary!A878,"")</f>
        <v/>
      </c>
      <c r="B877" s="21" t="str">
        <f>IF(Summary!J878&lt;&gt;"",Summary!J878,"")</f>
        <v/>
      </c>
      <c r="C877" s="44" t="str">
        <f>IF(Summary!E878+Summary!H878&gt;0,Summary!E878+Summary!H878,"")</f>
        <v/>
      </c>
      <c r="D877" s="40" t="str">
        <f>IF(Summary!L878&lt;&gt;"",Summary!L878,"")</f>
        <v/>
      </c>
      <c r="E877" s="40" t="str">
        <f>IF(Summary!M878&lt;&gt;"",Summary!M878,"")</f>
        <v/>
      </c>
      <c r="F877" s="20" t="str">
        <f>IF(Summary!N878&lt;&gt;"",Summary!N878,"")</f>
        <v/>
      </c>
      <c r="G877" s="20" t="str">
        <f>IF(Summary!O878&lt;&gt;"",Summary!O878,"")</f>
        <v/>
      </c>
    </row>
    <row r="878" spans="1:7">
      <c r="A878" s="39" t="str">
        <f>IF(Summary!A879&lt;&gt;"",Summary!A879,"")</f>
        <v/>
      </c>
      <c r="B878" s="21" t="str">
        <f>IF(Summary!J879&lt;&gt;"",Summary!J879,"")</f>
        <v/>
      </c>
      <c r="C878" s="44" t="str">
        <f>IF(Summary!E879+Summary!H879&gt;0,Summary!E879+Summary!H879,"")</f>
        <v/>
      </c>
      <c r="D878" s="40" t="str">
        <f>IF(Summary!L879&lt;&gt;"",Summary!L879,"")</f>
        <v/>
      </c>
      <c r="E878" s="40" t="str">
        <f>IF(Summary!M879&lt;&gt;"",Summary!M879,"")</f>
        <v/>
      </c>
      <c r="F878" s="20" t="str">
        <f>IF(Summary!N879&lt;&gt;"",Summary!N879,"")</f>
        <v/>
      </c>
      <c r="G878" s="20" t="str">
        <f>IF(Summary!O879&lt;&gt;"",Summary!O879,"")</f>
        <v/>
      </c>
    </row>
    <row r="879" spans="1:7">
      <c r="A879" s="39" t="str">
        <f>IF(Summary!A880&lt;&gt;"",Summary!A880,"")</f>
        <v/>
      </c>
      <c r="B879" s="21" t="str">
        <f>IF(Summary!J880&lt;&gt;"",Summary!J880,"")</f>
        <v/>
      </c>
      <c r="C879" s="44" t="str">
        <f>IF(Summary!E880+Summary!H880&gt;0,Summary!E880+Summary!H880,"")</f>
        <v/>
      </c>
      <c r="D879" s="40" t="str">
        <f>IF(Summary!L880&lt;&gt;"",Summary!L880,"")</f>
        <v/>
      </c>
      <c r="E879" s="40" t="str">
        <f>IF(Summary!M880&lt;&gt;"",Summary!M880,"")</f>
        <v/>
      </c>
      <c r="F879" s="20" t="str">
        <f>IF(Summary!N880&lt;&gt;"",Summary!N880,"")</f>
        <v/>
      </c>
      <c r="G879" s="20" t="str">
        <f>IF(Summary!O880&lt;&gt;"",Summary!O880,"")</f>
        <v/>
      </c>
    </row>
    <row r="880" spans="1:7">
      <c r="A880" s="39" t="str">
        <f>IF(Summary!A881&lt;&gt;"",Summary!A881,"")</f>
        <v/>
      </c>
      <c r="B880" s="21" t="str">
        <f>IF(Summary!J881&lt;&gt;"",Summary!J881,"")</f>
        <v/>
      </c>
      <c r="C880" s="44" t="str">
        <f>IF(Summary!E881+Summary!H881&gt;0,Summary!E881+Summary!H881,"")</f>
        <v/>
      </c>
      <c r="D880" s="40" t="str">
        <f>IF(Summary!L881&lt;&gt;"",Summary!L881,"")</f>
        <v/>
      </c>
      <c r="E880" s="40" t="str">
        <f>IF(Summary!M881&lt;&gt;"",Summary!M881,"")</f>
        <v/>
      </c>
      <c r="F880" s="20" t="str">
        <f>IF(Summary!N881&lt;&gt;"",Summary!N881,"")</f>
        <v/>
      </c>
      <c r="G880" s="20" t="str">
        <f>IF(Summary!O881&lt;&gt;"",Summary!O881,"")</f>
        <v/>
      </c>
    </row>
    <row r="881" spans="1:7">
      <c r="A881" s="39" t="str">
        <f>IF(Summary!A882&lt;&gt;"",Summary!A882,"")</f>
        <v/>
      </c>
      <c r="B881" s="21" t="str">
        <f>IF(Summary!J882&lt;&gt;"",Summary!J882,"")</f>
        <v/>
      </c>
      <c r="C881" s="44" t="str">
        <f>IF(Summary!E882+Summary!H882&gt;0,Summary!E882+Summary!H882,"")</f>
        <v/>
      </c>
      <c r="D881" s="40" t="str">
        <f>IF(Summary!L882&lt;&gt;"",Summary!L882,"")</f>
        <v/>
      </c>
      <c r="E881" s="40" t="str">
        <f>IF(Summary!M882&lt;&gt;"",Summary!M882,"")</f>
        <v/>
      </c>
      <c r="F881" s="20" t="str">
        <f>IF(Summary!N882&lt;&gt;"",Summary!N882,"")</f>
        <v/>
      </c>
      <c r="G881" s="20" t="str">
        <f>IF(Summary!O882&lt;&gt;"",Summary!O882,"")</f>
        <v/>
      </c>
    </row>
    <row r="882" spans="1:7">
      <c r="A882" s="39" t="str">
        <f>IF(Summary!A883&lt;&gt;"",Summary!A883,"")</f>
        <v/>
      </c>
      <c r="B882" s="21" t="str">
        <f>IF(Summary!J883&lt;&gt;"",Summary!J883,"")</f>
        <v/>
      </c>
      <c r="C882" s="44" t="str">
        <f>IF(Summary!E883+Summary!H883&gt;0,Summary!E883+Summary!H883,"")</f>
        <v/>
      </c>
      <c r="D882" s="40" t="str">
        <f>IF(Summary!L883&lt;&gt;"",Summary!L883,"")</f>
        <v/>
      </c>
      <c r="E882" s="40" t="str">
        <f>IF(Summary!M883&lt;&gt;"",Summary!M883,"")</f>
        <v/>
      </c>
      <c r="F882" s="20" t="str">
        <f>IF(Summary!N883&lt;&gt;"",Summary!N883,"")</f>
        <v/>
      </c>
      <c r="G882" s="20" t="str">
        <f>IF(Summary!O883&lt;&gt;"",Summary!O883,"")</f>
        <v/>
      </c>
    </row>
    <row r="883" spans="1:7">
      <c r="A883" s="39" t="str">
        <f>IF(Summary!A884&lt;&gt;"",Summary!A884,"")</f>
        <v/>
      </c>
      <c r="B883" s="21" t="str">
        <f>IF(Summary!J884&lt;&gt;"",Summary!J884,"")</f>
        <v/>
      </c>
      <c r="C883" s="44" t="str">
        <f>IF(Summary!E884+Summary!H884&gt;0,Summary!E884+Summary!H884,"")</f>
        <v/>
      </c>
      <c r="D883" s="40" t="str">
        <f>IF(Summary!L884&lt;&gt;"",Summary!L884,"")</f>
        <v/>
      </c>
      <c r="E883" s="40" t="str">
        <f>IF(Summary!M884&lt;&gt;"",Summary!M884,"")</f>
        <v/>
      </c>
      <c r="F883" s="20" t="str">
        <f>IF(Summary!N884&lt;&gt;"",Summary!N884,"")</f>
        <v/>
      </c>
      <c r="G883" s="20" t="str">
        <f>IF(Summary!O884&lt;&gt;"",Summary!O884,"")</f>
        <v/>
      </c>
    </row>
    <row r="884" spans="1:7">
      <c r="A884" s="39" t="str">
        <f>IF(Summary!A885&lt;&gt;"",Summary!A885,"")</f>
        <v/>
      </c>
      <c r="B884" s="21" t="str">
        <f>IF(Summary!J885&lt;&gt;"",Summary!J885,"")</f>
        <v/>
      </c>
      <c r="C884" s="44" t="str">
        <f>IF(Summary!E885+Summary!H885&gt;0,Summary!E885+Summary!H885,"")</f>
        <v/>
      </c>
      <c r="D884" s="40" t="str">
        <f>IF(Summary!L885&lt;&gt;"",Summary!L885,"")</f>
        <v/>
      </c>
      <c r="E884" s="40" t="str">
        <f>IF(Summary!M885&lt;&gt;"",Summary!M885,"")</f>
        <v/>
      </c>
      <c r="F884" s="20" t="str">
        <f>IF(Summary!N885&lt;&gt;"",Summary!N885,"")</f>
        <v/>
      </c>
      <c r="G884" s="20" t="str">
        <f>IF(Summary!O885&lt;&gt;"",Summary!O885,"")</f>
        <v/>
      </c>
    </row>
    <row r="885" spans="1:7">
      <c r="A885" s="39" t="str">
        <f>IF(Summary!A886&lt;&gt;"",Summary!A886,"")</f>
        <v/>
      </c>
      <c r="B885" s="21" t="str">
        <f>IF(Summary!J886&lt;&gt;"",Summary!J886,"")</f>
        <v/>
      </c>
      <c r="C885" s="44" t="str">
        <f>IF(Summary!E886+Summary!H886&gt;0,Summary!E886+Summary!H886,"")</f>
        <v/>
      </c>
      <c r="D885" s="40" t="str">
        <f>IF(Summary!L886&lt;&gt;"",Summary!L886,"")</f>
        <v/>
      </c>
      <c r="E885" s="40" t="str">
        <f>IF(Summary!M886&lt;&gt;"",Summary!M886,"")</f>
        <v/>
      </c>
      <c r="F885" s="20" t="str">
        <f>IF(Summary!N886&lt;&gt;"",Summary!N886,"")</f>
        <v/>
      </c>
      <c r="G885" s="20" t="str">
        <f>IF(Summary!O886&lt;&gt;"",Summary!O886,"")</f>
        <v/>
      </c>
    </row>
    <row r="886" spans="1:7">
      <c r="A886" s="39" t="str">
        <f>IF(Summary!A887&lt;&gt;"",Summary!A887,"")</f>
        <v/>
      </c>
      <c r="B886" s="21" t="str">
        <f>IF(Summary!J887&lt;&gt;"",Summary!J887,"")</f>
        <v/>
      </c>
      <c r="C886" s="44" t="str">
        <f>IF(Summary!E887+Summary!H887&gt;0,Summary!E887+Summary!H887,"")</f>
        <v/>
      </c>
      <c r="D886" s="40" t="str">
        <f>IF(Summary!L887&lt;&gt;"",Summary!L887,"")</f>
        <v/>
      </c>
      <c r="E886" s="40" t="str">
        <f>IF(Summary!M887&lt;&gt;"",Summary!M887,"")</f>
        <v/>
      </c>
      <c r="F886" s="20" t="str">
        <f>IF(Summary!N887&lt;&gt;"",Summary!N887,"")</f>
        <v/>
      </c>
      <c r="G886" s="20" t="str">
        <f>IF(Summary!O887&lt;&gt;"",Summary!O887,"")</f>
        <v/>
      </c>
    </row>
    <row r="887" spans="1:7">
      <c r="A887" s="39" t="str">
        <f>IF(Summary!A888&lt;&gt;"",Summary!A888,"")</f>
        <v/>
      </c>
      <c r="B887" s="21" t="str">
        <f>IF(Summary!J888&lt;&gt;"",Summary!J888,"")</f>
        <v/>
      </c>
      <c r="C887" s="44" t="str">
        <f>IF(Summary!E888+Summary!H888&gt;0,Summary!E888+Summary!H888,"")</f>
        <v/>
      </c>
      <c r="D887" s="40" t="str">
        <f>IF(Summary!L888&lt;&gt;"",Summary!L888,"")</f>
        <v/>
      </c>
      <c r="E887" s="40" t="str">
        <f>IF(Summary!M888&lt;&gt;"",Summary!M888,"")</f>
        <v/>
      </c>
      <c r="F887" s="20" t="str">
        <f>IF(Summary!N888&lt;&gt;"",Summary!N888,"")</f>
        <v/>
      </c>
      <c r="G887" s="20" t="str">
        <f>IF(Summary!O888&lt;&gt;"",Summary!O888,"")</f>
        <v/>
      </c>
    </row>
    <row r="888" spans="1:7">
      <c r="A888" s="39" t="str">
        <f>IF(Summary!A889&lt;&gt;"",Summary!A889,"")</f>
        <v/>
      </c>
      <c r="B888" s="21" t="str">
        <f>IF(Summary!J889&lt;&gt;"",Summary!J889,"")</f>
        <v/>
      </c>
      <c r="C888" s="44" t="str">
        <f>IF(Summary!E889+Summary!H889&gt;0,Summary!E889+Summary!H889,"")</f>
        <v/>
      </c>
      <c r="D888" s="40" t="str">
        <f>IF(Summary!L889&lt;&gt;"",Summary!L889,"")</f>
        <v/>
      </c>
      <c r="E888" s="40" t="str">
        <f>IF(Summary!M889&lt;&gt;"",Summary!M889,"")</f>
        <v/>
      </c>
      <c r="F888" s="20" t="str">
        <f>IF(Summary!N889&lt;&gt;"",Summary!N889,"")</f>
        <v/>
      </c>
      <c r="G888" s="20" t="str">
        <f>IF(Summary!O889&lt;&gt;"",Summary!O889,"")</f>
        <v/>
      </c>
    </row>
    <row r="889" spans="1:7">
      <c r="A889" s="39" t="str">
        <f>IF(Summary!A890&lt;&gt;"",Summary!A890,"")</f>
        <v/>
      </c>
      <c r="B889" s="21" t="str">
        <f>IF(Summary!J890&lt;&gt;"",Summary!J890,"")</f>
        <v/>
      </c>
      <c r="C889" s="44" t="str">
        <f>IF(Summary!E890+Summary!H890&gt;0,Summary!E890+Summary!H890,"")</f>
        <v/>
      </c>
      <c r="D889" s="40" t="str">
        <f>IF(Summary!L890&lt;&gt;"",Summary!L890,"")</f>
        <v/>
      </c>
      <c r="E889" s="40" t="str">
        <f>IF(Summary!M890&lt;&gt;"",Summary!M890,"")</f>
        <v/>
      </c>
      <c r="F889" s="20" t="str">
        <f>IF(Summary!N890&lt;&gt;"",Summary!N890,"")</f>
        <v/>
      </c>
      <c r="G889" s="20" t="str">
        <f>IF(Summary!O890&lt;&gt;"",Summary!O890,"")</f>
        <v/>
      </c>
    </row>
    <row r="890" spans="1:7">
      <c r="A890" s="39" t="str">
        <f>IF(Summary!A891&lt;&gt;"",Summary!A891,"")</f>
        <v/>
      </c>
      <c r="B890" s="21" t="str">
        <f>IF(Summary!J891&lt;&gt;"",Summary!J891,"")</f>
        <v/>
      </c>
      <c r="C890" s="44" t="str">
        <f>IF(Summary!E891+Summary!H891&gt;0,Summary!E891+Summary!H891,"")</f>
        <v/>
      </c>
      <c r="D890" s="40" t="str">
        <f>IF(Summary!L891&lt;&gt;"",Summary!L891,"")</f>
        <v/>
      </c>
      <c r="E890" s="40" t="str">
        <f>IF(Summary!M891&lt;&gt;"",Summary!M891,"")</f>
        <v/>
      </c>
      <c r="F890" s="20" t="str">
        <f>IF(Summary!N891&lt;&gt;"",Summary!N891,"")</f>
        <v/>
      </c>
      <c r="G890" s="20" t="str">
        <f>IF(Summary!O891&lt;&gt;"",Summary!O891,"")</f>
        <v/>
      </c>
    </row>
    <row r="891" spans="1:7">
      <c r="A891" s="39" t="str">
        <f>IF(Summary!A892&lt;&gt;"",Summary!A892,"")</f>
        <v/>
      </c>
      <c r="B891" s="21" t="str">
        <f>IF(Summary!J892&lt;&gt;"",Summary!J892,"")</f>
        <v/>
      </c>
      <c r="C891" s="44" t="str">
        <f>IF(Summary!E892+Summary!H892&gt;0,Summary!E892+Summary!H892,"")</f>
        <v/>
      </c>
      <c r="D891" s="40" t="str">
        <f>IF(Summary!L892&lt;&gt;"",Summary!L892,"")</f>
        <v/>
      </c>
      <c r="E891" s="40" t="str">
        <f>IF(Summary!M892&lt;&gt;"",Summary!M892,"")</f>
        <v/>
      </c>
      <c r="F891" s="20" t="str">
        <f>IF(Summary!N892&lt;&gt;"",Summary!N892,"")</f>
        <v/>
      </c>
      <c r="G891" s="20" t="str">
        <f>IF(Summary!O892&lt;&gt;"",Summary!O892,"")</f>
        <v/>
      </c>
    </row>
    <row r="892" spans="1:7">
      <c r="A892" s="39" t="str">
        <f>IF(Summary!A893&lt;&gt;"",Summary!A893,"")</f>
        <v/>
      </c>
      <c r="B892" s="21" t="str">
        <f>IF(Summary!J893&lt;&gt;"",Summary!J893,"")</f>
        <v/>
      </c>
      <c r="C892" s="44" t="str">
        <f>IF(Summary!E893+Summary!H893&gt;0,Summary!E893+Summary!H893,"")</f>
        <v/>
      </c>
      <c r="D892" s="40" t="str">
        <f>IF(Summary!L893&lt;&gt;"",Summary!L893,"")</f>
        <v/>
      </c>
      <c r="E892" s="40" t="str">
        <f>IF(Summary!M893&lt;&gt;"",Summary!M893,"")</f>
        <v/>
      </c>
      <c r="F892" s="20" t="str">
        <f>IF(Summary!N893&lt;&gt;"",Summary!N893,"")</f>
        <v/>
      </c>
      <c r="G892" s="20" t="str">
        <f>IF(Summary!O893&lt;&gt;"",Summary!O893,"")</f>
        <v/>
      </c>
    </row>
    <row r="893" spans="1:7">
      <c r="A893" s="39" t="str">
        <f>IF(Summary!A894&lt;&gt;"",Summary!A894,"")</f>
        <v/>
      </c>
      <c r="B893" s="21" t="str">
        <f>IF(Summary!J894&lt;&gt;"",Summary!J894,"")</f>
        <v/>
      </c>
      <c r="C893" s="44" t="str">
        <f>IF(Summary!E894+Summary!H894&gt;0,Summary!E894+Summary!H894,"")</f>
        <v/>
      </c>
      <c r="D893" s="40" t="str">
        <f>IF(Summary!L894&lt;&gt;"",Summary!L894,"")</f>
        <v/>
      </c>
      <c r="E893" s="40" t="str">
        <f>IF(Summary!M894&lt;&gt;"",Summary!M894,"")</f>
        <v/>
      </c>
      <c r="F893" s="20" t="str">
        <f>IF(Summary!N894&lt;&gt;"",Summary!N894,"")</f>
        <v/>
      </c>
      <c r="G893" s="20" t="str">
        <f>IF(Summary!O894&lt;&gt;"",Summary!O894,"")</f>
        <v/>
      </c>
    </row>
    <row r="894" spans="1:7">
      <c r="A894" s="39" t="str">
        <f>IF(Summary!A895&lt;&gt;"",Summary!A895,"")</f>
        <v/>
      </c>
      <c r="B894" s="21" t="str">
        <f>IF(Summary!J895&lt;&gt;"",Summary!J895,"")</f>
        <v/>
      </c>
      <c r="C894" s="44" t="str">
        <f>IF(Summary!E895+Summary!H895&gt;0,Summary!E895+Summary!H895,"")</f>
        <v/>
      </c>
      <c r="D894" s="40" t="str">
        <f>IF(Summary!L895&lt;&gt;"",Summary!L895,"")</f>
        <v/>
      </c>
      <c r="E894" s="40" t="str">
        <f>IF(Summary!M895&lt;&gt;"",Summary!M895,"")</f>
        <v/>
      </c>
      <c r="F894" s="20" t="str">
        <f>IF(Summary!N895&lt;&gt;"",Summary!N895,"")</f>
        <v/>
      </c>
      <c r="G894" s="20" t="str">
        <f>IF(Summary!O895&lt;&gt;"",Summary!O895,"")</f>
        <v/>
      </c>
    </row>
    <row r="895" spans="1:7">
      <c r="A895" s="39" t="str">
        <f>IF(Summary!A896&lt;&gt;"",Summary!A896,"")</f>
        <v/>
      </c>
      <c r="B895" s="21" t="str">
        <f>IF(Summary!J896&lt;&gt;"",Summary!J896,"")</f>
        <v/>
      </c>
      <c r="C895" s="44" t="str">
        <f>IF(Summary!E896+Summary!H896&gt;0,Summary!E896+Summary!H896,"")</f>
        <v/>
      </c>
      <c r="D895" s="40" t="str">
        <f>IF(Summary!L896&lt;&gt;"",Summary!L896,"")</f>
        <v/>
      </c>
      <c r="E895" s="40" t="str">
        <f>IF(Summary!M896&lt;&gt;"",Summary!M896,"")</f>
        <v/>
      </c>
      <c r="F895" s="20" t="str">
        <f>IF(Summary!N896&lt;&gt;"",Summary!N896,"")</f>
        <v/>
      </c>
      <c r="G895" s="20" t="str">
        <f>IF(Summary!O896&lt;&gt;"",Summary!O896,"")</f>
        <v/>
      </c>
    </row>
    <row r="896" spans="1:7">
      <c r="A896" s="39" t="str">
        <f>IF(Summary!A897&lt;&gt;"",Summary!A897,"")</f>
        <v/>
      </c>
      <c r="B896" s="21" t="str">
        <f>IF(Summary!J897&lt;&gt;"",Summary!J897,"")</f>
        <v/>
      </c>
      <c r="C896" s="44" t="str">
        <f>IF(Summary!E897+Summary!H897&gt;0,Summary!E897+Summary!H897,"")</f>
        <v/>
      </c>
      <c r="D896" s="40" t="str">
        <f>IF(Summary!L897&lt;&gt;"",Summary!L897,"")</f>
        <v/>
      </c>
      <c r="E896" s="40" t="str">
        <f>IF(Summary!M897&lt;&gt;"",Summary!M897,"")</f>
        <v/>
      </c>
      <c r="F896" s="20" t="str">
        <f>IF(Summary!N897&lt;&gt;"",Summary!N897,"")</f>
        <v/>
      </c>
      <c r="G896" s="20" t="str">
        <f>IF(Summary!O897&lt;&gt;"",Summary!O897,"")</f>
        <v/>
      </c>
    </row>
    <row r="897" spans="1:7">
      <c r="A897" s="39" t="str">
        <f>IF(Summary!A898&lt;&gt;"",Summary!A898,"")</f>
        <v/>
      </c>
      <c r="B897" s="21" t="str">
        <f>IF(Summary!J898&lt;&gt;"",Summary!J898,"")</f>
        <v/>
      </c>
      <c r="C897" s="44" t="str">
        <f>IF(Summary!E898+Summary!H898&gt;0,Summary!E898+Summary!H898,"")</f>
        <v/>
      </c>
      <c r="D897" s="40" t="str">
        <f>IF(Summary!L898&lt;&gt;"",Summary!L898,"")</f>
        <v/>
      </c>
      <c r="E897" s="40" t="str">
        <f>IF(Summary!M898&lt;&gt;"",Summary!M898,"")</f>
        <v/>
      </c>
      <c r="F897" s="20" t="str">
        <f>IF(Summary!N898&lt;&gt;"",Summary!N898,"")</f>
        <v/>
      </c>
      <c r="G897" s="20" t="str">
        <f>IF(Summary!O898&lt;&gt;"",Summary!O898,"")</f>
        <v/>
      </c>
    </row>
    <row r="898" spans="1:7">
      <c r="A898" s="39" t="str">
        <f>IF(Summary!A899&lt;&gt;"",Summary!A899,"")</f>
        <v/>
      </c>
      <c r="B898" s="21" t="str">
        <f>IF(Summary!J899&lt;&gt;"",Summary!J899,"")</f>
        <v/>
      </c>
      <c r="C898" s="44" t="str">
        <f>IF(Summary!E899+Summary!H899&gt;0,Summary!E899+Summary!H899,"")</f>
        <v/>
      </c>
      <c r="D898" s="40" t="str">
        <f>IF(Summary!L899&lt;&gt;"",Summary!L899,"")</f>
        <v/>
      </c>
      <c r="E898" s="40" t="str">
        <f>IF(Summary!M899&lt;&gt;"",Summary!M899,"")</f>
        <v/>
      </c>
      <c r="F898" s="20" t="str">
        <f>IF(Summary!N899&lt;&gt;"",Summary!N899,"")</f>
        <v/>
      </c>
      <c r="G898" s="20" t="str">
        <f>IF(Summary!O899&lt;&gt;"",Summary!O899,"")</f>
        <v/>
      </c>
    </row>
    <row r="899" spans="1:7">
      <c r="A899" s="39" t="str">
        <f>IF(Summary!A900&lt;&gt;"",Summary!A900,"")</f>
        <v/>
      </c>
      <c r="B899" s="21" t="str">
        <f>IF(Summary!J900&lt;&gt;"",Summary!J900,"")</f>
        <v/>
      </c>
      <c r="C899" s="44" t="str">
        <f>IF(Summary!E900+Summary!H900&gt;0,Summary!E900+Summary!H900,"")</f>
        <v/>
      </c>
      <c r="D899" s="40" t="str">
        <f>IF(Summary!L900&lt;&gt;"",Summary!L900,"")</f>
        <v/>
      </c>
      <c r="E899" s="40" t="str">
        <f>IF(Summary!M900&lt;&gt;"",Summary!M900,"")</f>
        <v/>
      </c>
      <c r="F899" s="20" t="str">
        <f>IF(Summary!N900&lt;&gt;"",Summary!N900,"")</f>
        <v/>
      </c>
      <c r="G899" s="20" t="str">
        <f>IF(Summary!O900&lt;&gt;"",Summary!O900,"")</f>
        <v/>
      </c>
    </row>
    <row r="900" spans="1:7">
      <c r="A900" s="39" t="str">
        <f>IF(Summary!A901&lt;&gt;"",Summary!A901,"")</f>
        <v/>
      </c>
      <c r="B900" s="21" t="str">
        <f>IF(Summary!J901&lt;&gt;"",Summary!J901,"")</f>
        <v/>
      </c>
      <c r="C900" s="44" t="str">
        <f>IF(Summary!E901+Summary!H901&gt;0,Summary!E901+Summary!H901,"")</f>
        <v/>
      </c>
      <c r="D900" s="40" t="str">
        <f>IF(Summary!L901&lt;&gt;"",Summary!L901,"")</f>
        <v/>
      </c>
      <c r="E900" s="40" t="str">
        <f>IF(Summary!M901&lt;&gt;"",Summary!M901,"")</f>
        <v/>
      </c>
      <c r="F900" s="20" t="str">
        <f>IF(Summary!N901&lt;&gt;"",Summary!N901,"")</f>
        <v/>
      </c>
      <c r="G900" s="20" t="str">
        <f>IF(Summary!O901&lt;&gt;"",Summary!O901,"")</f>
        <v/>
      </c>
    </row>
    <row r="901" spans="1:7">
      <c r="A901" s="39" t="str">
        <f>IF(Summary!A902&lt;&gt;"",Summary!A902,"")</f>
        <v/>
      </c>
      <c r="B901" s="21" t="str">
        <f>IF(Summary!J902&lt;&gt;"",Summary!J902,"")</f>
        <v/>
      </c>
      <c r="C901" s="44" t="str">
        <f>IF(Summary!E902+Summary!H902&gt;0,Summary!E902+Summary!H902,"")</f>
        <v/>
      </c>
      <c r="D901" s="40" t="str">
        <f>IF(Summary!L902&lt;&gt;"",Summary!L902,"")</f>
        <v/>
      </c>
      <c r="E901" s="40" t="str">
        <f>IF(Summary!M902&lt;&gt;"",Summary!M902,"")</f>
        <v/>
      </c>
      <c r="F901" s="20" t="str">
        <f>IF(Summary!N902&lt;&gt;"",Summary!N902,"")</f>
        <v/>
      </c>
      <c r="G901" s="20" t="str">
        <f>IF(Summary!O902&lt;&gt;"",Summary!O902,"")</f>
        <v/>
      </c>
    </row>
    <row r="902" spans="1:7">
      <c r="A902" s="39" t="str">
        <f>IF(Summary!A903&lt;&gt;"",Summary!A903,"")</f>
        <v/>
      </c>
      <c r="B902" s="21" t="str">
        <f>IF(Summary!J903&lt;&gt;"",Summary!J903,"")</f>
        <v/>
      </c>
      <c r="C902" s="44" t="str">
        <f>IF(Summary!E903+Summary!H903&gt;0,Summary!E903+Summary!H903,"")</f>
        <v/>
      </c>
      <c r="D902" s="40" t="str">
        <f>IF(Summary!L903&lt;&gt;"",Summary!L903,"")</f>
        <v/>
      </c>
      <c r="E902" s="40" t="str">
        <f>IF(Summary!M903&lt;&gt;"",Summary!M903,"")</f>
        <v/>
      </c>
      <c r="F902" s="20" t="str">
        <f>IF(Summary!N903&lt;&gt;"",Summary!N903,"")</f>
        <v/>
      </c>
      <c r="G902" s="20" t="str">
        <f>IF(Summary!O903&lt;&gt;"",Summary!O903,"")</f>
        <v/>
      </c>
    </row>
    <row r="903" spans="1:7">
      <c r="A903" s="39" t="str">
        <f>IF(Summary!A904&lt;&gt;"",Summary!A904,"")</f>
        <v/>
      </c>
      <c r="B903" s="21" t="str">
        <f>IF(Summary!J904&lt;&gt;"",Summary!J904,"")</f>
        <v/>
      </c>
      <c r="C903" s="44" t="str">
        <f>IF(Summary!E904+Summary!H904&gt;0,Summary!E904+Summary!H904,"")</f>
        <v/>
      </c>
      <c r="D903" s="40" t="str">
        <f>IF(Summary!L904&lt;&gt;"",Summary!L904,"")</f>
        <v/>
      </c>
      <c r="E903" s="40" t="str">
        <f>IF(Summary!M904&lt;&gt;"",Summary!M904,"")</f>
        <v/>
      </c>
      <c r="F903" s="20" t="str">
        <f>IF(Summary!N904&lt;&gt;"",Summary!N904,"")</f>
        <v/>
      </c>
      <c r="G903" s="20" t="str">
        <f>IF(Summary!O904&lt;&gt;"",Summary!O904,"")</f>
        <v/>
      </c>
    </row>
    <row r="904" spans="1:7">
      <c r="A904" s="39" t="str">
        <f>IF(Summary!A905&lt;&gt;"",Summary!A905,"")</f>
        <v/>
      </c>
      <c r="B904" s="21" t="str">
        <f>IF(Summary!J905&lt;&gt;"",Summary!J905,"")</f>
        <v/>
      </c>
      <c r="C904" s="44" t="str">
        <f>IF(Summary!E905+Summary!H905&gt;0,Summary!E905+Summary!H905,"")</f>
        <v/>
      </c>
      <c r="D904" s="40" t="str">
        <f>IF(Summary!L905&lt;&gt;"",Summary!L905,"")</f>
        <v/>
      </c>
      <c r="E904" s="40" t="str">
        <f>IF(Summary!M905&lt;&gt;"",Summary!M905,"")</f>
        <v/>
      </c>
      <c r="F904" s="20" t="str">
        <f>IF(Summary!N905&lt;&gt;"",Summary!N905,"")</f>
        <v/>
      </c>
      <c r="G904" s="20" t="str">
        <f>IF(Summary!O905&lt;&gt;"",Summary!O905,"")</f>
        <v/>
      </c>
    </row>
    <row r="905" spans="1:7">
      <c r="A905" s="39" t="str">
        <f>IF(Summary!A906&lt;&gt;"",Summary!A906,"")</f>
        <v/>
      </c>
      <c r="B905" s="21" t="str">
        <f>IF(Summary!J906&lt;&gt;"",Summary!J906,"")</f>
        <v/>
      </c>
      <c r="C905" s="44" t="str">
        <f>IF(Summary!E906+Summary!H906&gt;0,Summary!E906+Summary!H906,"")</f>
        <v/>
      </c>
      <c r="D905" s="40" t="str">
        <f>IF(Summary!L906&lt;&gt;"",Summary!L906,"")</f>
        <v/>
      </c>
      <c r="E905" s="40" t="str">
        <f>IF(Summary!M906&lt;&gt;"",Summary!M906,"")</f>
        <v/>
      </c>
      <c r="F905" s="20" t="str">
        <f>IF(Summary!N906&lt;&gt;"",Summary!N906,"")</f>
        <v/>
      </c>
      <c r="G905" s="20" t="str">
        <f>IF(Summary!O906&lt;&gt;"",Summary!O906,"")</f>
        <v/>
      </c>
    </row>
    <row r="906" spans="1:7">
      <c r="A906" s="39" t="str">
        <f>IF(Summary!A907&lt;&gt;"",Summary!A907,"")</f>
        <v/>
      </c>
      <c r="B906" s="21" t="str">
        <f>IF(Summary!J907&lt;&gt;"",Summary!J907,"")</f>
        <v/>
      </c>
      <c r="C906" s="44" t="str">
        <f>IF(Summary!E907+Summary!H907&gt;0,Summary!E907+Summary!H907,"")</f>
        <v/>
      </c>
      <c r="D906" s="40" t="str">
        <f>IF(Summary!L907&lt;&gt;"",Summary!L907,"")</f>
        <v/>
      </c>
      <c r="E906" s="40" t="str">
        <f>IF(Summary!M907&lt;&gt;"",Summary!M907,"")</f>
        <v/>
      </c>
      <c r="F906" s="20" t="str">
        <f>IF(Summary!N907&lt;&gt;"",Summary!N907,"")</f>
        <v/>
      </c>
      <c r="G906" s="20" t="str">
        <f>IF(Summary!O907&lt;&gt;"",Summary!O907,"")</f>
        <v/>
      </c>
    </row>
    <row r="907" spans="1:7">
      <c r="A907" s="39" t="str">
        <f>IF(Summary!A908&lt;&gt;"",Summary!A908,"")</f>
        <v/>
      </c>
      <c r="B907" s="21" t="str">
        <f>IF(Summary!J908&lt;&gt;"",Summary!J908,"")</f>
        <v/>
      </c>
      <c r="C907" s="44" t="str">
        <f>IF(Summary!E908+Summary!H908&gt;0,Summary!E908+Summary!H908,"")</f>
        <v/>
      </c>
      <c r="D907" s="40" t="str">
        <f>IF(Summary!L908&lt;&gt;"",Summary!L908,"")</f>
        <v/>
      </c>
      <c r="E907" s="40" t="str">
        <f>IF(Summary!M908&lt;&gt;"",Summary!M908,"")</f>
        <v/>
      </c>
      <c r="F907" s="20" t="str">
        <f>IF(Summary!N908&lt;&gt;"",Summary!N908,"")</f>
        <v/>
      </c>
      <c r="G907" s="20" t="str">
        <f>IF(Summary!O908&lt;&gt;"",Summary!O908,"")</f>
        <v/>
      </c>
    </row>
    <row r="908" spans="1:7">
      <c r="A908" s="39" t="str">
        <f>IF(Summary!A909&lt;&gt;"",Summary!A909,"")</f>
        <v/>
      </c>
      <c r="B908" s="21" t="str">
        <f>IF(Summary!J909&lt;&gt;"",Summary!J909,"")</f>
        <v/>
      </c>
      <c r="C908" s="44" t="str">
        <f>IF(Summary!E909+Summary!H909&gt;0,Summary!E909+Summary!H909,"")</f>
        <v/>
      </c>
      <c r="D908" s="40" t="str">
        <f>IF(Summary!L909&lt;&gt;"",Summary!L909,"")</f>
        <v/>
      </c>
      <c r="E908" s="40" t="str">
        <f>IF(Summary!M909&lt;&gt;"",Summary!M909,"")</f>
        <v/>
      </c>
      <c r="F908" s="20" t="str">
        <f>IF(Summary!N909&lt;&gt;"",Summary!N909,"")</f>
        <v/>
      </c>
      <c r="G908" s="20" t="str">
        <f>IF(Summary!O909&lt;&gt;"",Summary!O909,"")</f>
        <v/>
      </c>
    </row>
    <row r="909" spans="1:7">
      <c r="A909" s="39" t="str">
        <f>IF(Summary!A910&lt;&gt;"",Summary!A910,"")</f>
        <v/>
      </c>
      <c r="B909" s="21" t="str">
        <f>IF(Summary!J910&lt;&gt;"",Summary!J910,"")</f>
        <v/>
      </c>
      <c r="C909" s="44" t="str">
        <f>IF(Summary!E910+Summary!H910&gt;0,Summary!E910+Summary!H910,"")</f>
        <v/>
      </c>
      <c r="D909" s="40" t="str">
        <f>IF(Summary!L910&lt;&gt;"",Summary!L910,"")</f>
        <v/>
      </c>
      <c r="E909" s="40" t="str">
        <f>IF(Summary!M910&lt;&gt;"",Summary!M910,"")</f>
        <v/>
      </c>
      <c r="F909" s="20" t="str">
        <f>IF(Summary!N910&lt;&gt;"",Summary!N910,"")</f>
        <v/>
      </c>
      <c r="G909" s="20" t="str">
        <f>IF(Summary!O910&lt;&gt;"",Summary!O910,"")</f>
        <v/>
      </c>
    </row>
    <row r="910" spans="1:7">
      <c r="A910" s="39" t="str">
        <f>IF(Summary!A911&lt;&gt;"",Summary!A911,"")</f>
        <v/>
      </c>
      <c r="B910" s="21" t="str">
        <f>IF(Summary!J911&lt;&gt;"",Summary!J911,"")</f>
        <v/>
      </c>
      <c r="C910" s="44" t="str">
        <f>IF(Summary!E911+Summary!H911&gt;0,Summary!E911+Summary!H911,"")</f>
        <v/>
      </c>
      <c r="D910" s="40" t="str">
        <f>IF(Summary!L911&lt;&gt;"",Summary!L911,"")</f>
        <v/>
      </c>
      <c r="E910" s="40" t="str">
        <f>IF(Summary!M911&lt;&gt;"",Summary!M911,"")</f>
        <v/>
      </c>
      <c r="F910" s="20" t="str">
        <f>IF(Summary!N911&lt;&gt;"",Summary!N911,"")</f>
        <v/>
      </c>
      <c r="G910" s="20" t="str">
        <f>IF(Summary!O911&lt;&gt;"",Summary!O911,"")</f>
        <v/>
      </c>
    </row>
    <row r="911" spans="1:7">
      <c r="A911" s="39" t="str">
        <f>IF(Summary!A912&lt;&gt;"",Summary!A912,"")</f>
        <v/>
      </c>
      <c r="B911" s="21" t="str">
        <f>IF(Summary!J912&lt;&gt;"",Summary!J912,"")</f>
        <v/>
      </c>
      <c r="C911" s="44" t="str">
        <f>IF(Summary!E912+Summary!H912&gt;0,Summary!E912+Summary!H912,"")</f>
        <v/>
      </c>
      <c r="D911" s="40" t="str">
        <f>IF(Summary!L912&lt;&gt;"",Summary!L912,"")</f>
        <v/>
      </c>
      <c r="E911" s="40" t="str">
        <f>IF(Summary!M912&lt;&gt;"",Summary!M912,"")</f>
        <v/>
      </c>
      <c r="F911" s="20" t="str">
        <f>IF(Summary!N912&lt;&gt;"",Summary!N912,"")</f>
        <v/>
      </c>
      <c r="G911" s="20" t="str">
        <f>IF(Summary!O912&lt;&gt;"",Summary!O912,"")</f>
        <v/>
      </c>
    </row>
    <row r="912" spans="1:7">
      <c r="A912" s="39" t="str">
        <f>IF(Summary!A913&lt;&gt;"",Summary!A913,"")</f>
        <v/>
      </c>
      <c r="B912" s="21" t="str">
        <f>IF(Summary!J913&lt;&gt;"",Summary!J913,"")</f>
        <v/>
      </c>
      <c r="C912" s="44" t="str">
        <f>IF(Summary!E913+Summary!H913&gt;0,Summary!E913+Summary!H913,"")</f>
        <v/>
      </c>
      <c r="D912" s="40" t="str">
        <f>IF(Summary!L913&lt;&gt;"",Summary!L913,"")</f>
        <v/>
      </c>
      <c r="E912" s="40" t="str">
        <f>IF(Summary!M913&lt;&gt;"",Summary!M913,"")</f>
        <v/>
      </c>
      <c r="F912" s="20" t="str">
        <f>IF(Summary!N913&lt;&gt;"",Summary!N913,"")</f>
        <v/>
      </c>
      <c r="G912" s="20" t="str">
        <f>IF(Summary!O913&lt;&gt;"",Summary!O913,"")</f>
        <v/>
      </c>
    </row>
    <row r="913" spans="1:7">
      <c r="A913" s="39" t="str">
        <f>IF(Summary!A914&lt;&gt;"",Summary!A914,"")</f>
        <v/>
      </c>
      <c r="B913" s="21" t="str">
        <f>IF(Summary!J914&lt;&gt;"",Summary!J914,"")</f>
        <v/>
      </c>
      <c r="C913" s="44" t="str">
        <f>IF(Summary!E914+Summary!H914&gt;0,Summary!E914+Summary!H914,"")</f>
        <v/>
      </c>
      <c r="D913" s="40" t="str">
        <f>IF(Summary!L914&lt;&gt;"",Summary!L914,"")</f>
        <v/>
      </c>
      <c r="E913" s="40" t="str">
        <f>IF(Summary!M914&lt;&gt;"",Summary!M914,"")</f>
        <v/>
      </c>
      <c r="F913" s="20" t="str">
        <f>IF(Summary!N914&lt;&gt;"",Summary!N914,"")</f>
        <v/>
      </c>
      <c r="G913" s="20" t="str">
        <f>IF(Summary!O914&lt;&gt;"",Summary!O914,"")</f>
        <v/>
      </c>
    </row>
    <row r="914" spans="1:7">
      <c r="A914" s="39" t="str">
        <f>IF(Summary!A915&lt;&gt;"",Summary!A915,"")</f>
        <v/>
      </c>
      <c r="B914" s="21" t="str">
        <f>IF(Summary!J915&lt;&gt;"",Summary!J915,"")</f>
        <v/>
      </c>
      <c r="C914" s="44" t="str">
        <f>IF(Summary!E915+Summary!H915&gt;0,Summary!E915+Summary!H915,"")</f>
        <v/>
      </c>
      <c r="D914" s="40" t="str">
        <f>IF(Summary!L915&lt;&gt;"",Summary!L915,"")</f>
        <v/>
      </c>
      <c r="E914" s="40" t="str">
        <f>IF(Summary!M915&lt;&gt;"",Summary!M915,"")</f>
        <v/>
      </c>
      <c r="F914" s="20" t="str">
        <f>IF(Summary!N915&lt;&gt;"",Summary!N915,"")</f>
        <v/>
      </c>
      <c r="G914" s="20" t="str">
        <f>IF(Summary!O915&lt;&gt;"",Summary!O915,"")</f>
        <v/>
      </c>
    </row>
    <row r="915" spans="1:7">
      <c r="A915" s="39" t="str">
        <f>IF(Summary!A916&lt;&gt;"",Summary!A916,"")</f>
        <v/>
      </c>
      <c r="B915" s="21" t="str">
        <f>IF(Summary!J916&lt;&gt;"",Summary!J916,"")</f>
        <v/>
      </c>
      <c r="C915" s="44" t="str">
        <f>IF(Summary!E916+Summary!H916&gt;0,Summary!E916+Summary!H916,"")</f>
        <v/>
      </c>
      <c r="D915" s="40" t="str">
        <f>IF(Summary!L916&lt;&gt;"",Summary!L916,"")</f>
        <v/>
      </c>
      <c r="E915" s="40" t="str">
        <f>IF(Summary!M916&lt;&gt;"",Summary!M916,"")</f>
        <v/>
      </c>
      <c r="F915" s="20" t="str">
        <f>IF(Summary!N916&lt;&gt;"",Summary!N916,"")</f>
        <v/>
      </c>
      <c r="G915" s="20" t="str">
        <f>IF(Summary!O916&lt;&gt;"",Summary!O916,"")</f>
        <v/>
      </c>
    </row>
    <row r="916" spans="1:7">
      <c r="A916" s="39" t="str">
        <f>IF(Summary!A917&lt;&gt;"",Summary!A917,"")</f>
        <v/>
      </c>
      <c r="B916" s="21" t="str">
        <f>IF(Summary!J917&lt;&gt;"",Summary!J917,"")</f>
        <v/>
      </c>
      <c r="C916" s="44" t="str">
        <f>IF(Summary!E917+Summary!H917&gt;0,Summary!E917+Summary!H917,"")</f>
        <v/>
      </c>
      <c r="D916" s="40" t="str">
        <f>IF(Summary!L917&lt;&gt;"",Summary!L917,"")</f>
        <v/>
      </c>
      <c r="E916" s="40" t="str">
        <f>IF(Summary!M917&lt;&gt;"",Summary!M917,"")</f>
        <v/>
      </c>
      <c r="F916" s="20" t="str">
        <f>IF(Summary!N917&lt;&gt;"",Summary!N917,"")</f>
        <v/>
      </c>
      <c r="G916" s="20" t="str">
        <f>IF(Summary!O917&lt;&gt;"",Summary!O917,"")</f>
        <v/>
      </c>
    </row>
    <row r="917" spans="1:7">
      <c r="A917" s="39" t="str">
        <f>IF(Summary!A918&lt;&gt;"",Summary!A918,"")</f>
        <v/>
      </c>
      <c r="B917" s="21" t="str">
        <f>IF(Summary!J918&lt;&gt;"",Summary!J918,"")</f>
        <v/>
      </c>
      <c r="C917" s="44" t="str">
        <f>IF(Summary!E918+Summary!H918&gt;0,Summary!E918+Summary!H918,"")</f>
        <v/>
      </c>
      <c r="D917" s="40" t="str">
        <f>IF(Summary!L918&lt;&gt;"",Summary!L918,"")</f>
        <v/>
      </c>
      <c r="E917" s="40" t="str">
        <f>IF(Summary!M918&lt;&gt;"",Summary!M918,"")</f>
        <v/>
      </c>
      <c r="F917" s="20" t="str">
        <f>IF(Summary!N918&lt;&gt;"",Summary!N918,"")</f>
        <v/>
      </c>
      <c r="G917" s="20" t="str">
        <f>IF(Summary!O918&lt;&gt;"",Summary!O918,"")</f>
        <v/>
      </c>
    </row>
    <row r="918" spans="1:7">
      <c r="A918" s="39" t="str">
        <f>IF(Summary!A919&lt;&gt;"",Summary!A919,"")</f>
        <v/>
      </c>
      <c r="B918" s="21" t="str">
        <f>IF(Summary!J919&lt;&gt;"",Summary!J919,"")</f>
        <v/>
      </c>
      <c r="C918" s="44" t="str">
        <f>IF(Summary!E919+Summary!H919&gt;0,Summary!E919+Summary!H919,"")</f>
        <v/>
      </c>
      <c r="D918" s="40" t="str">
        <f>IF(Summary!L919&lt;&gt;"",Summary!L919,"")</f>
        <v/>
      </c>
      <c r="E918" s="40" t="str">
        <f>IF(Summary!M919&lt;&gt;"",Summary!M919,"")</f>
        <v/>
      </c>
      <c r="F918" s="20" t="str">
        <f>IF(Summary!N919&lt;&gt;"",Summary!N919,"")</f>
        <v/>
      </c>
      <c r="G918" s="20" t="str">
        <f>IF(Summary!O919&lt;&gt;"",Summary!O919,"")</f>
        <v/>
      </c>
    </row>
    <row r="919" spans="1:7">
      <c r="A919" s="39" t="str">
        <f>IF(Summary!A920&lt;&gt;"",Summary!A920,"")</f>
        <v/>
      </c>
      <c r="B919" s="21" t="str">
        <f>IF(Summary!J920&lt;&gt;"",Summary!J920,"")</f>
        <v/>
      </c>
      <c r="C919" s="44" t="str">
        <f>IF(Summary!E920+Summary!H920&gt;0,Summary!E920+Summary!H920,"")</f>
        <v/>
      </c>
      <c r="D919" s="40" t="str">
        <f>IF(Summary!L920&lt;&gt;"",Summary!L920,"")</f>
        <v/>
      </c>
      <c r="E919" s="40" t="str">
        <f>IF(Summary!M920&lt;&gt;"",Summary!M920,"")</f>
        <v/>
      </c>
      <c r="F919" s="20" t="str">
        <f>IF(Summary!N920&lt;&gt;"",Summary!N920,"")</f>
        <v/>
      </c>
      <c r="G919" s="20" t="str">
        <f>IF(Summary!O920&lt;&gt;"",Summary!O920,"")</f>
        <v/>
      </c>
    </row>
    <row r="920" spans="1:7">
      <c r="A920" s="39" t="str">
        <f>IF(Summary!A921&lt;&gt;"",Summary!A921,"")</f>
        <v/>
      </c>
      <c r="B920" s="21" t="str">
        <f>IF(Summary!J921&lt;&gt;"",Summary!J921,"")</f>
        <v/>
      </c>
      <c r="C920" s="44" t="str">
        <f>IF(Summary!E921+Summary!H921&gt;0,Summary!E921+Summary!H921,"")</f>
        <v/>
      </c>
      <c r="D920" s="40" t="str">
        <f>IF(Summary!L921&lt;&gt;"",Summary!L921,"")</f>
        <v/>
      </c>
      <c r="E920" s="40" t="str">
        <f>IF(Summary!M921&lt;&gt;"",Summary!M921,"")</f>
        <v/>
      </c>
      <c r="F920" s="20" t="str">
        <f>IF(Summary!N921&lt;&gt;"",Summary!N921,"")</f>
        <v/>
      </c>
      <c r="G920" s="20" t="str">
        <f>IF(Summary!O921&lt;&gt;"",Summary!O921,"")</f>
        <v/>
      </c>
    </row>
    <row r="921" spans="1:7">
      <c r="A921" s="39" t="str">
        <f>IF(Summary!A922&lt;&gt;"",Summary!A922,"")</f>
        <v/>
      </c>
      <c r="B921" s="21" t="str">
        <f>IF(Summary!J922&lt;&gt;"",Summary!J922,"")</f>
        <v/>
      </c>
      <c r="C921" s="44" t="str">
        <f>IF(Summary!E922+Summary!H922&gt;0,Summary!E922+Summary!H922,"")</f>
        <v/>
      </c>
      <c r="D921" s="40" t="str">
        <f>IF(Summary!L922&lt;&gt;"",Summary!L922,"")</f>
        <v/>
      </c>
      <c r="E921" s="40" t="str">
        <f>IF(Summary!M922&lt;&gt;"",Summary!M922,"")</f>
        <v/>
      </c>
      <c r="F921" s="20" t="str">
        <f>IF(Summary!N922&lt;&gt;"",Summary!N922,"")</f>
        <v/>
      </c>
      <c r="G921" s="20" t="str">
        <f>IF(Summary!O922&lt;&gt;"",Summary!O922,"")</f>
        <v/>
      </c>
    </row>
    <row r="922" spans="1:7">
      <c r="A922" s="39" t="str">
        <f>IF(Summary!A923&lt;&gt;"",Summary!A923,"")</f>
        <v/>
      </c>
      <c r="B922" s="21" t="str">
        <f>IF(Summary!J923&lt;&gt;"",Summary!J923,"")</f>
        <v/>
      </c>
      <c r="C922" s="44" t="str">
        <f>IF(Summary!E923+Summary!H923&gt;0,Summary!E923+Summary!H923,"")</f>
        <v/>
      </c>
      <c r="D922" s="40" t="str">
        <f>IF(Summary!L923&lt;&gt;"",Summary!L923,"")</f>
        <v/>
      </c>
      <c r="E922" s="40" t="str">
        <f>IF(Summary!M923&lt;&gt;"",Summary!M923,"")</f>
        <v/>
      </c>
      <c r="F922" s="20" t="str">
        <f>IF(Summary!N923&lt;&gt;"",Summary!N923,"")</f>
        <v/>
      </c>
      <c r="G922" s="20" t="str">
        <f>IF(Summary!O923&lt;&gt;"",Summary!O923,"")</f>
        <v/>
      </c>
    </row>
    <row r="923" spans="1:7">
      <c r="A923" s="39" t="str">
        <f>IF(Summary!A924&lt;&gt;"",Summary!A924,"")</f>
        <v/>
      </c>
      <c r="B923" s="21" t="str">
        <f>IF(Summary!J924&lt;&gt;"",Summary!J924,"")</f>
        <v/>
      </c>
      <c r="C923" s="44" t="str">
        <f>IF(Summary!E924+Summary!H924&gt;0,Summary!E924+Summary!H924,"")</f>
        <v/>
      </c>
      <c r="D923" s="40" t="str">
        <f>IF(Summary!L924&lt;&gt;"",Summary!L924,"")</f>
        <v/>
      </c>
      <c r="E923" s="40" t="str">
        <f>IF(Summary!M924&lt;&gt;"",Summary!M924,"")</f>
        <v/>
      </c>
      <c r="F923" s="20" t="str">
        <f>IF(Summary!N924&lt;&gt;"",Summary!N924,"")</f>
        <v/>
      </c>
      <c r="G923" s="20" t="str">
        <f>IF(Summary!O924&lt;&gt;"",Summary!O924,"")</f>
        <v/>
      </c>
    </row>
    <row r="924" spans="1:7">
      <c r="A924" s="39" t="str">
        <f>IF(Summary!A925&lt;&gt;"",Summary!A925,"")</f>
        <v/>
      </c>
      <c r="B924" s="21" t="str">
        <f>IF(Summary!J925&lt;&gt;"",Summary!J925,"")</f>
        <v/>
      </c>
      <c r="C924" s="44" t="str">
        <f>IF(Summary!E925+Summary!H925&gt;0,Summary!E925+Summary!H925,"")</f>
        <v/>
      </c>
      <c r="D924" s="40" t="str">
        <f>IF(Summary!L925&lt;&gt;"",Summary!L925,"")</f>
        <v/>
      </c>
      <c r="E924" s="40" t="str">
        <f>IF(Summary!M925&lt;&gt;"",Summary!M925,"")</f>
        <v/>
      </c>
      <c r="F924" s="20" t="str">
        <f>IF(Summary!N925&lt;&gt;"",Summary!N925,"")</f>
        <v/>
      </c>
      <c r="G924" s="20" t="str">
        <f>IF(Summary!O925&lt;&gt;"",Summary!O925,"")</f>
        <v/>
      </c>
    </row>
    <row r="925" spans="1:7">
      <c r="A925" s="39" t="str">
        <f>IF(Summary!A926&lt;&gt;"",Summary!A926,"")</f>
        <v/>
      </c>
      <c r="B925" s="21" t="str">
        <f>IF(Summary!J926&lt;&gt;"",Summary!J926,"")</f>
        <v/>
      </c>
      <c r="C925" s="44" t="str">
        <f>IF(Summary!E926+Summary!H926&gt;0,Summary!E926+Summary!H926,"")</f>
        <v/>
      </c>
      <c r="D925" s="40" t="str">
        <f>IF(Summary!L926&lt;&gt;"",Summary!L926,"")</f>
        <v/>
      </c>
      <c r="E925" s="40" t="str">
        <f>IF(Summary!M926&lt;&gt;"",Summary!M926,"")</f>
        <v/>
      </c>
      <c r="F925" s="20" t="str">
        <f>IF(Summary!N926&lt;&gt;"",Summary!N926,"")</f>
        <v/>
      </c>
      <c r="G925" s="20" t="str">
        <f>IF(Summary!O926&lt;&gt;"",Summary!O926,"")</f>
        <v/>
      </c>
    </row>
    <row r="926" spans="1:7">
      <c r="A926" s="39" t="str">
        <f>IF(Summary!A927&lt;&gt;"",Summary!A927,"")</f>
        <v/>
      </c>
      <c r="B926" s="21" t="str">
        <f>IF(Summary!J927&lt;&gt;"",Summary!J927,"")</f>
        <v/>
      </c>
      <c r="C926" s="44" t="str">
        <f>IF(Summary!E927+Summary!H927&gt;0,Summary!E927+Summary!H927,"")</f>
        <v/>
      </c>
      <c r="D926" s="40" t="str">
        <f>IF(Summary!L927&lt;&gt;"",Summary!L927,"")</f>
        <v/>
      </c>
      <c r="E926" s="40" t="str">
        <f>IF(Summary!M927&lt;&gt;"",Summary!M927,"")</f>
        <v/>
      </c>
      <c r="F926" s="20" t="str">
        <f>IF(Summary!N927&lt;&gt;"",Summary!N927,"")</f>
        <v/>
      </c>
      <c r="G926" s="20" t="str">
        <f>IF(Summary!O927&lt;&gt;"",Summary!O927,"")</f>
        <v/>
      </c>
    </row>
    <row r="927" spans="1:7">
      <c r="A927" s="39" t="str">
        <f>IF(Summary!A928&lt;&gt;"",Summary!A928,"")</f>
        <v/>
      </c>
      <c r="B927" s="21" t="str">
        <f>IF(Summary!J928&lt;&gt;"",Summary!J928,"")</f>
        <v/>
      </c>
      <c r="C927" s="44" t="str">
        <f>IF(Summary!E928+Summary!H928&gt;0,Summary!E928+Summary!H928,"")</f>
        <v/>
      </c>
      <c r="D927" s="40" t="str">
        <f>IF(Summary!L928&lt;&gt;"",Summary!L928,"")</f>
        <v/>
      </c>
      <c r="E927" s="40" t="str">
        <f>IF(Summary!M928&lt;&gt;"",Summary!M928,"")</f>
        <v/>
      </c>
      <c r="F927" s="20" t="str">
        <f>IF(Summary!N928&lt;&gt;"",Summary!N928,"")</f>
        <v/>
      </c>
      <c r="G927" s="20" t="str">
        <f>IF(Summary!O928&lt;&gt;"",Summary!O928,"")</f>
        <v/>
      </c>
    </row>
    <row r="928" spans="1:7">
      <c r="A928" s="39" t="str">
        <f>IF(Summary!A929&lt;&gt;"",Summary!A929,"")</f>
        <v/>
      </c>
      <c r="B928" s="21" t="str">
        <f>IF(Summary!J929&lt;&gt;"",Summary!J929,"")</f>
        <v/>
      </c>
      <c r="C928" s="44" t="str">
        <f>IF(Summary!E929+Summary!H929&gt;0,Summary!E929+Summary!H929,"")</f>
        <v/>
      </c>
      <c r="D928" s="40" t="str">
        <f>IF(Summary!L929&lt;&gt;"",Summary!L929,"")</f>
        <v/>
      </c>
      <c r="E928" s="40" t="str">
        <f>IF(Summary!M929&lt;&gt;"",Summary!M929,"")</f>
        <v/>
      </c>
      <c r="F928" s="20" t="str">
        <f>IF(Summary!N929&lt;&gt;"",Summary!N929,"")</f>
        <v/>
      </c>
      <c r="G928" s="20" t="str">
        <f>IF(Summary!O929&lt;&gt;"",Summary!O929,"")</f>
        <v/>
      </c>
    </row>
    <row r="929" spans="1:7">
      <c r="A929" s="39" t="str">
        <f>IF(Summary!A930&lt;&gt;"",Summary!A930,"")</f>
        <v/>
      </c>
      <c r="B929" s="21" t="str">
        <f>IF(Summary!J930&lt;&gt;"",Summary!J930,"")</f>
        <v/>
      </c>
      <c r="C929" s="44" t="str">
        <f>IF(Summary!E930+Summary!H930&gt;0,Summary!E930+Summary!H930,"")</f>
        <v/>
      </c>
      <c r="D929" s="40" t="str">
        <f>IF(Summary!L930&lt;&gt;"",Summary!L930,"")</f>
        <v/>
      </c>
      <c r="E929" s="40" t="str">
        <f>IF(Summary!M930&lt;&gt;"",Summary!M930,"")</f>
        <v/>
      </c>
      <c r="F929" s="20" t="str">
        <f>IF(Summary!N930&lt;&gt;"",Summary!N930,"")</f>
        <v/>
      </c>
      <c r="G929" s="20" t="str">
        <f>IF(Summary!O930&lt;&gt;"",Summary!O930,"")</f>
        <v/>
      </c>
    </row>
    <row r="930" spans="1:7">
      <c r="A930" s="39" t="str">
        <f>IF(Summary!A931&lt;&gt;"",Summary!A931,"")</f>
        <v/>
      </c>
      <c r="B930" s="21" t="str">
        <f>IF(Summary!J931&lt;&gt;"",Summary!J931,"")</f>
        <v/>
      </c>
      <c r="C930" s="44" t="str">
        <f>IF(Summary!E931+Summary!H931&gt;0,Summary!E931+Summary!H931,"")</f>
        <v/>
      </c>
      <c r="D930" s="40" t="str">
        <f>IF(Summary!L931&lt;&gt;"",Summary!L931,"")</f>
        <v/>
      </c>
      <c r="E930" s="40" t="str">
        <f>IF(Summary!M931&lt;&gt;"",Summary!M931,"")</f>
        <v/>
      </c>
      <c r="F930" s="20" t="str">
        <f>IF(Summary!N931&lt;&gt;"",Summary!N931,"")</f>
        <v/>
      </c>
      <c r="G930" s="20" t="str">
        <f>IF(Summary!O931&lt;&gt;"",Summary!O931,"")</f>
        <v/>
      </c>
    </row>
    <row r="931" spans="1:7">
      <c r="A931" s="39" t="str">
        <f>IF(Summary!A932&lt;&gt;"",Summary!A932,"")</f>
        <v/>
      </c>
      <c r="B931" s="21" t="str">
        <f>IF(Summary!J932&lt;&gt;"",Summary!J932,"")</f>
        <v/>
      </c>
      <c r="C931" s="44" t="str">
        <f>IF(Summary!E932+Summary!H932&gt;0,Summary!E932+Summary!H932,"")</f>
        <v/>
      </c>
      <c r="D931" s="40" t="str">
        <f>IF(Summary!L932&lt;&gt;"",Summary!L932,"")</f>
        <v/>
      </c>
      <c r="E931" s="40" t="str">
        <f>IF(Summary!M932&lt;&gt;"",Summary!M932,"")</f>
        <v/>
      </c>
      <c r="F931" s="20" t="str">
        <f>IF(Summary!N932&lt;&gt;"",Summary!N932,"")</f>
        <v/>
      </c>
      <c r="G931" s="20" t="str">
        <f>IF(Summary!O932&lt;&gt;"",Summary!O932,"")</f>
        <v/>
      </c>
    </row>
    <row r="932" spans="1:7">
      <c r="A932" s="39" t="str">
        <f>IF(Summary!A933&lt;&gt;"",Summary!A933,"")</f>
        <v/>
      </c>
      <c r="B932" s="21" t="str">
        <f>IF(Summary!J933&lt;&gt;"",Summary!J933,"")</f>
        <v/>
      </c>
      <c r="C932" s="44" t="str">
        <f>IF(Summary!E933+Summary!H933&gt;0,Summary!E933+Summary!H933,"")</f>
        <v/>
      </c>
      <c r="D932" s="40" t="str">
        <f>IF(Summary!L933&lt;&gt;"",Summary!L933,"")</f>
        <v/>
      </c>
      <c r="E932" s="40" t="str">
        <f>IF(Summary!M933&lt;&gt;"",Summary!M933,"")</f>
        <v/>
      </c>
      <c r="F932" s="20" t="str">
        <f>IF(Summary!N933&lt;&gt;"",Summary!N933,"")</f>
        <v/>
      </c>
      <c r="G932" s="20" t="str">
        <f>IF(Summary!O933&lt;&gt;"",Summary!O933,"")</f>
        <v/>
      </c>
    </row>
    <row r="933" spans="1:7">
      <c r="A933" s="39" t="str">
        <f>IF(Summary!A934&lt;&gt;"",Summary!A934,"")</f>
        <v/>
      </c>
      <c r="B933" s="21" t="str">
        <f>IF(Summary!J934&lt;&gt;"",Summary!J934,"")</f>
        <v/>
      </c>
      <c r="C933" s="44" t="str">
        <f>IF(Summary!E934+Summary!H934&gt;0,Summary!E934+Summary!H934,"")</f>
        <v/>
      </c>
      <c r="D933" s="40" t="str">
        <f>IF(Summary!L934&lt;&gt;"",Summary!L934,"")</f>
        <v/>
      </c>
      <c r="E933" s="40" t="str">
        <f>IF(Summary!M934&lt;&gt;"",Summary!M934,"")</f>
        <v/>
      </c>
      <c r="F933" s="20" t="str">
        <f>IF(Summary!N934&lt;&gt;"",Summary!N934,"")</f>
        <v/>
      </c>
      <c r="G933" s="20" t="str">
        <f>IF(Summary!O934&lt;&gt;"",Summary!O934,"")</f>
        <v/>
      </c>
    </row>
    <row r="934" spans="1:7">
      <c r="A934" s="39" t="str">
        <f>IF(Summary!A935&lt;&gt;"",Summary!A935,"")</f>
        <v/>
      </c>
      <c r="B934" s="21" t="str">
        <f>IF(Summary!J935&lt;&gt;"",Summary!J935,"")</f>
        <v/>
      </c>
      <c r="C934" s="44" t="str">
        <f>IF(Summary!E935+Summary!H935&gt;0,Summary!E935+Summary!H935,"")</f>
        <v/>
      </c>
      <c r="D934" s="40" t="str">
        <f>IF(Summary!L935&lt;&gt;"",Summary!L935,"")</f>
        <v/>
      </c>
      <c r="E934" s="40" t="str">
        <f>IF(Summary!M935&lt;&gt;"",Summary!M935,"")</f>
        <v/>
      </c>
      <c r="F934" s="20" t="str">
        <f>IF(Summary!N935&lt;&gt;"",Summary!N935,"")</f>
        <v/>
      </c>
      <c r="G934" s="20" t="str">
        <f>IF(Summary!O935&lt;&gt;"",Summary!O935,"")</f>
        <v/>
      </c>
    </row>
    <row r="935" spans="1:7">
      <c r="A935" s="39" t="str">
        <f>IF(Summary!A936&lt;&gt;"",Summary!A936,"")</f>
        <v/>
      </c>
      <c r="B935" s="21" t="str">
        <f>IF(Summary!J936&lt;&gt;"",Summary!J936,"")</f>
        <v/>
      </c>
      <c r="C935" s="44" t="str">
        <f>IF(Summary!E936+Summary!H936&gt;0,Summary!E936+Summary!H936,"")</f>
        <v/>
      </c>
      <c r="D935" s="40" t="str">
        <f>IF(Summary!L936&lt;&gt;"",Summary!L936,"")</f>
        <v/>
      </c>
      <c r="E935" s="40" t="str">
        <f>IF(Summary!M936&lt;&gt;"",Summary!M936,"")</f>
        <v/>
      </c>
      <c r="F935" s="20" t="str">
        <f>IF(Summary!N936&lt;&gt;"",Summary!N936,"")</f>
        <v/>
      </c>
      <c r="G935" s="20" t="str">
        <f>IF(Summary!O936&lt;&gt;"",Summary!O936,"")</f>
        <v/>
      </c>
    </row>
    <row r="936" spans="1:7">
      <c r="A936" s="39" t="str">
        <f>IF(Summary!A937&lt;&gt;"",Summary!A937,"")</f>
        <v/>
      </c>
      <c r="B936" s="21" t="str">
        <f>IF(Summary!J937&lt;&gt;"",Summary!J937,"")</f>
        <v/>
      </c>
      <c r="C936" s="44" t="str">
        <f>IF(Summary!E937+Summary!H937&gt;0,Summary!E937+Summary!H937,"")</f>
        <v/>
      </c>
      <c r="D936" s="40" t="str">
        <f>IF(Summary!L937&lt;&gt;"",Summary!L937,"")</f>
        <v/>
      </c>
      <c r="E936" s="40" t="str">
        <f>IF(Summary!M937&lt;&gt;"",Summary!M937,"")</f>
        <v/>
      </c>
      <c r="F936" s="20" t="str">
        <f>IF(Summary!N937&lt;&gt;"",Summary!N937,"")</f>
        <v/>
      </c>
      <c r="G936" s="20" t="str">
        <f>IF(Summary!O937&lt;&gt;"",Summary!O937,"")</f>
        <v/>
      </c>
    </row>
    <row r="937" spans="1:7">
      <c r="A937" s="39" t="str">
        <f>IF(Summary!A938&lt;&gt;"",Summary!A938,"")</f>
        <v/>
      </c>
      <c r="B937" s="21" t="str">
        <f>IF(Summary!J938&lt;&gt;"",Summary!J938,"")</f>
        <v/>
      </c>
      <c r="C937" s="44" t="str">
        <f>IF(Summary!E938+Summary!H938&gt;0,Summary!E938+Summary!H938,"")</f>
        <v/>
      </c>
      <c r="D937" s="40" t="str">
        <f>IF(Summary!L938&lt;&gt;"",Summary!L938,"")</f>
        <v/>
      </c>
      <c r="E937" s="40" t="str">
        <f>IF(Summary!M938&lt;&gt;"",Summary!M938,"")</f>
        <v/>
      </c>
      <c r="F937" s="20" t="str">
        <f>IF(Summary!N938&lt;&gt;"",Summary!N938,"")</f>
        <v/>
      </c>
      <c r="G937" s="20" t="str">
        <f>IF(Summary!O938&lt;&gt;"",Summary!O938,"")</f>
        <v/>
      </c>
    </row>
    <row r="938" spans="1:7">
      <c r="A938" s="39" t="str">
        <f>IF(Summary!A939&lt;&gt;"",Summary!A939,"")</f>
        <v/>
      </c>
      <c r="B938" s="21" t="str">
        <f>IF(Summary!J939&lt;&gt;"",Summary!J939,"")</f>
        <v/>
      </c>
      <c r="C938" s="44" t="str">
        <f>IF(Summary!E939+Summary!H939&gt;0,Summary!E939+Summary!H939,"")</f>
        <v/>
      </c>
      <c r="D938" s="40" t="str">
        <f>IF(Summary!L939&lt;&gt;"",Summary!L939,"")</f>
        <v/>
      </c>
      <c r="E938" s="40" t="str">
        <f>IF(Summary!M939&lt;&gt;"",Summary!M939,"")</f>
        <v/>
      </c>
      <c r="F938" s="20" t="str">
        <f>IF(Summary!N939&lt;&gt;"",Summary!N939,"")</f>
        <v/>
      </c>
      <c r="G938" s="20" t="str">
        <f>IF(Summary!O939&lt;&gt;"",Summary!O939,"")</f>
        <v/>
      </c>
    </row>
    <row r="939" spans="1:7">
      <c r="A939" s="39" t="str">
        <f>IF(Summary!A940&lt;&gt;"",Summary!A940,"")</f>
        <v/>
      </c>
      <c r="B939" s="21" t="str">
        <f>IF(Summary!J940&lt;&gt;"",Summary!J940,"")</f>
        <v/>
      </c>
      <c r="C939" s="44" t="str">
        <f>IF(Summary!E940+Summary!H940&gt;0,Summary!E940+Summary!H940,"")</f>
        <v/>
      </c>
      <c r="D939" s="40" t="str">
        <f>IF(Summary!L940&lt;&gt;"",Summary!L940,"")</f>
        <v/>
      </c>
      <c r="E939" s="40" t="str">
        <f>IF(Summary!M940&lt;&gt;"",Summary!M940,"")</f>
        <v/>
      </c>
      <c r="F939" s="20" t="str">
        <f>IF(Summary!N940&lt;&gt;"",Summary!N940,"")</f>
        <v/>
      </c>
      <c r="G939" s="20" t="str">
        <f>IF(Summary!O940&lt;&gt;"",Summary!O940,"")</f>
        <v/>
      </c>
    </row>
    <row r="940" spans="1:7">
      <c r="A940" s="39" t="str">
        <f>IF(Summary!A941&lt;&gt;"",Summary!A941,"")</f>
        <v/>
      </c>
      <c r="B940" s="21" t="str">
        <f>IF(Summary!J941&lt;&gt;"",Summary!J941,"")</f>
        <v/>
      </c>
      <c r="C940" s="44" t="str">
        <f>IF(Summary!E941+Summary!H941&gt;0,Summary!E941+Summary!H941,"")</f>
        <v/>
      </c>
      <c r="D940" s="40" t="str">
        <f>IF(Summary!L941&lt;&gt;"",Summary!L941,"")</f>
        <v/>
      </c>
      <c r="E940" s="40" t="str">
        <f>IF(Summary!M941&lt;&gt;"",Summary!M941,"")</f>
        <v/>
      </c>
      <c r="F940" s="20" t="str">
        <f>IF(Summary!N941&lt;&gt;"",Summary!N941,"")</f>
        <v/>
      </c>
      <c r="G940" s="20" t="str">
        <f>IF(Summary!O941&lt;&gt;"",Summary!O941,"")</f>
        <v/>
      </c>
    </row>
    <row r="941" spans="1:7">
      <c r="A941" s="39" t="str">
        <f>IF(Summary!A942&lt;&gt;"",Summary!A942,"")</f>
        <v/>
      </c>
      <c r="B941" s="21" t="str">
        <f>IF(Summary!J942&lt;&gt;"",Summary!J942,"")</f>
        <v/>
      </c>
      <c r="C941" s="44" t="str">
        <f>IF(Summary!E942+Summary!H942&gt;0,Summary!E942+Summary!H942,"")</f>
        <v/>
      </c>
      <c r="D941" s="40" t="str">
        <f>IF(Summary!L942&lt;&gt;"",Summary!L942,"")</f>
        <v/>
      </c>
      <c r="E941" s="40" t="str">
        <f>IF(Summary!M942&lt;&gt;"",Summary!M942,"")</f>
        <v/>
      </c>
      <c r="F941" s="20" t="str">
        <f>IF(Summary!N942&lt;&gt;"",Summary!N942,"")</f>
        <v/>
      </c>
      <c r="G941" s="20" t="str">
        <f>IF(Summary!O942&lt;&gt;"",Summary!O942,"")</f>
        <v/>
      </c>
    </row>
    <row r="942" spans="1:7">
      <c r="A942" s="39" t="str">
        <f>IF(Summary!A943&lt;&gt;"",Summary!A943,"")</f>
        <v/>
      </c>
      <c r="B942" s="21" t="str">
        <f>IF(Summary!J943&lt;&gt;"",Summary!J943,"")</f>
        <v/>
      </c>
      <c r="C942" s="44" t="str">
        <f>IF(Summary!E943+Summary!H943&gt;0,Summary!E943+Summary!H943,"")</f>
        <v/>
      </c>
      <c r="D942" s="40" t="str">
        <f>IF(Summary!L943&lt;&gt;"",Summary!L943,"")</f>
        <v/>
      </c>
      <c r="E942" s="40" t="str">
        <f>IF(Summary!M943&lt;&gt;"",Summary!M943,"")</f>
        <v/>
      </c>
      <c r="F942" s="20" t="str">
        <f>IF(Summary!N943&lt;&gt;"",Summary!N943,"")</f>
        <v/>
      </c>
      <c r="G942" s="20" t="str">
        <f>IF(Summary!O943&lt;&gt;"",Summary!O943,"")</f>
        <v/>
      </c>
    </row>
    <row r="943" spans="1:7">
      <c r="A943" s="39" t="str">
        <f>IF(Summary!A944&lt;&gt;"",Summary!A944,"")</f>
        <v/>
      </c>
      <c r="B943" s="21" t="str">
        <f>IF(Summary!J944&lt;&gt;"",Summary!J944,"")</f>
        <v/>
      </c>
      <c r="C943" s="44" t="str">
        <f>IF(Summary!E944+Summary!H944&gt;0,Summary!E944+Summary!H944,"")</f>
        <v/>
      </c>
      <c r="D943" s="40" t="str">
        <f>IF(Summary!L944&lt;&gt;"",Summary!L944,"")</f>
        <v/>
      </c>
      <c r="E943" s="40" t="str">
        <f>IF(Summary!M944&lt;&gt;"",Summary!M944,"")</f>
        <v/>
      </c>
      <c r="F943" s="20" t="str">
        <f>IF(Summary!N944&lt;&gt;"",Summary!N944,"")</f>
        <v/>
      </c>
      <c r="G943" s="20" t="str">
        <f>IF(Summary!O944&lt;&gt;"",Summary!O944,"")</f>
        <v/>
      </c>
    </row>
    <row r="944" spans="1:7">
      <c r="A944" s="39" t="str">
        <f>IF(Summary!A945&lt;&gt;"",Summary!A945,"")</f>
        <v/>
      </c>
      <c r="B944" s="21" t="str">
        <f>IF(Summary!J945&lt;&gt;"",Summary!J945,"")</f>
        <v/>
      </c>
      <c r="C944" s="44" t="str">
        <f>IF(Summary!E945+Summary!H945&gt;0,Summary!E945+Summary!H945,"")</f>
        <v/>
      </c>
      <c r="D944" s="40" t="str">
        <f>IF(Summary!L945&lt;&gt;"",Summary!L945,"")</f>
        <v/>
      </c>
      <c r="E944" s="40" t="str">
        <f>IF(Summary!M945&lt;&gt;"",Summary!M945,"")</f>
        <v/>
      </c>
      <c r="F944" s="20" t="str">
        <f>IF(Summary!N945&lt;&gt;"",Summary!N945,"")</f>
        <v/>
      </c>
      <c r="G944" s="20" t="str">
        <f>IF(Summary!O945&lt;&gt;"",Summary!O945,"")</f>
        <v/>
      </c>
    </row>
    <row r="945" spans="1:7">
      <c r="A945" s="39" t="str">
        <f>IF(Summary!A946&lt;&gt;"",Summary!A946,"")</f>
        <v/>
      </c>
      <c r="B945" s="21" t="str">
        <f>IF(Summary!J946&lt;&gt;"",Summary!J946,"")</f>
        <v/>
      </c>
      <c r="C945" s="44" t="str">
        <f>IF(Summary!E946+Summary!H946&gt;0,Summary!E946+Summary!H946,"")</f>
        <v/>
      </c>
      <c r="D945" s="40" t="str">
        <f>IF(Summary!L946&lt;&gt;"",Summary!L946,"")</f>
        <v/>
      </c>
      <c r="E945" s="40" t="str">
        <f>IF(Summary!M946&lt;&gt;"",Summary!M946,"")</f>
        <v/>
      </c>
      <c r="F945" s="20" t="str">
        <f>IF(Summary!N946&lt;&gt;"",Summary!N946,"")</f>
        <v/>
      </c>
      <c r="G945" s="20" t="str">
        <f>IF(Summary!O946&lt;&gt;"",Summary!O946,"")</f>
        <v/>
      </c>
    </row>
    <row r="946" spans="1:7">
      <c r="A946" s="39" t="str">
        <f>IF(Summary!A947&lt;&gt;"",Summary!A947,"")</f>
        <v/>
      </c>
      <c r="B946" s="21" t="str">
        <f>IF(Summary!J947&lt;&gt;"",Summary!J947,"")</f>
        <v/>
      </c>
      <c r="C946" s="44" t="str">
        <f>IF(Summary!E947+Summary!H947&gt;0,Summary!E947+Summary!H947,"")</f>
        <v/>
      </c>
      <c r="D946" s="40" t="str">
        <f>IF(Summary!L947&lt;&gt;"",Summary!L947,"")</f>
        <v/>
      </c>
      <c r="E946" s="40" t="str">
        <f>IF(Summary!M947&lt;&gt;"",Summary!M947,"")</f>
        <v/>
      </c>
      <c r="F946" s="20" t="str">
        <f>IF(Summary!N947&lt;&gt;"",Summary!N947,"")</f>
        <v/>
      </c>
      <c r="G946" s="20" t="str">
        <f>IF(Summary!O947&lt;&gt;"",Summary!O947,"")</f>
        <v/>
      </c>
    </row>
    <row r="947" spans="1:7">
      <c r="A947" s="39" t="str">
        <f>IF(Summary!A948&lt;&gt;"",Summary!A948,"")</f>
        <v/>
      </c>
      <c r="B947" s="21" t="str">
        <f>IF(Summary!J948&lt;&gt;"",Summary!J948,"")</f>
        <v/>
      </c>
      <c r="C947" s="44" t="str">
        <f>IF(Summary!E948+Summary!H948&gt;0,Summary!E948+Summary!H948,"")</f>
        <v/>
      </c>
      <c r="D947" s="40" t="str">
        <f>IF(Summary!L948&lt;&gt;"",Summary!L948,"")</f>
        <v/>
      </c>
      <c r="E947" s="40" t="str">
        <f>IF(Summary!M948&lt;&gt;"",Summary!M948,"")</f>
        <v/>
      </c>
      <c r="F947" s="20" t="str">
        <f>IF(Summary!N948&lt;&gt;"",Summary!N948,"")</f>
        <v/>
      </c>
      <c r="G947" s="20" t="str">
        <f>IF(Summary!O948&lt;&gt;"",Summary!O948,"")</f>
        <v/>
      </c>
    </row>
    <row r="948" spans="1:7">
      <c r="A948" s="39" t="str">
        <f>IF(Summary!A949&lt;&gt;"",Summary!A949,"")</f>
        <v/>
      </c>
      <c r="B948" s="21" t="str">
        <f>IF(Summary!J949&lt;&gt;"",Summary!J949,"")</f>
        <v/>
      </c>
      <c r="C948" s="44" t="str">
        <f>IF(Summary!E949+Summary!H949&gt;0,Summary!E949+Summary!H949,"")</f>
        <v/>
      </c>
      <c r="D948" s="40" t="str">
        <f>IF(Summary!L949&lt;&gt;"",Summary!L949,"")</f>
        <v/>
      </c>
      <c r="E948" s="40" t="str">
        <f>IF(Summary!M949&lt;&gt;"",Summary!M949,"")</f>
        <v/>
      </c>
      <c r="F948" s="20" t="str">
        <f>IF(Summary!N949&lt;&gt;"",Summary!N949,"")</f>
        <v/>
      </c>
      <c r="G948" s="20" t="str">
        <f>IF(Summary!O949&lt;&gt;"",Summary!O949,"")</f>
        <v/>
      </c>
    </row>
    <row r="949" spans="1:7">
      <c r="A949" s="39" t="str">
        <f>IF(Summary!A950&lt;&gt;"",Summary!A950,"")</f>
        <v/>
      </c>
      <c r="B949" s="21" t="str">
        <f>IF(Summary!J950&lt;&gt;"",Summary!J950,"")</f>
        <v/>
      </c>
      <c r="C949" s="44" t="str">
        <f>IF(Summary!E950+Summary!H950&gt;0,Summary!E950+Summary!H950,"")</f>
        <v/>
      </c>
      <c r="D949" s="40" t="str">
        <f>IF(Summary!L950&lt;&gt;"",Summary!L950,"")</f>
        <v/>
      </c>
      <c r="E949" s="40" t="str">
        <f>IF(Summary!M950&lt;&gt;"",Summary!M950,"")</f>
        <v/>
      </c>
      <c r="F949" s="20" t="str">
        <f>IF(Summary!N950&lt;&gt;"",Summary!N950,"")</f>
        <v/>
      </c>
      <c r="G949" s="20" t="str">
        <f>IF(Summary!O950&lt;&gt;"",Summary!O950,"")</f>
        <v/>
      </c>
    </row>
    <row r="950" spans="1:7">
      <c r="A950" s="39" t="str">
        <f>IF(Summary!A951&lt;&gt;"",Summary!A951,"")</f>
        <v/>
      </c>
      <c r="B950" s="21" t="str">
        <f>IF(Summary!J951&lt;&gt;"",Summary!J951,"")</f>
        <v/>
      </c>
      <c r="C950" s="44" t="str">
        <f>IF(Summary!E951+Summary!H951&gt;0,Summary!E951+Summary!H951,"")</f>
        <v/>
      </c>
      <c r="D950" s="40" t="str">
        <f>IF(Summary!L951&lt;&gt;"",Summary!L951,"")</f>
        <v/>
      </c>
      <c r="E950" s="40" t="str">
        <f>IF(Summary!M951&lt;&gt;"",Summary!M951,"")</f>
        <v/>
      </c>
      <c r="F950" s="20" t="str">
        <f>IF(Summary!N951&lt;&gt;"",Summary!N951,"")</f>
        <v/>
      </c>
      <c r="G950" s="20" t="str">
        <f>IF(Summary!O951&lt;&gt;"",Summary!O951,"")</f>
        <v/>
      </c>
    </row>
    <row r="951" spans="1:7">
      <c r="A951" s="39" t="str">
        <f>IF(Summary!A952&lt;&gt;"",Summary!A952,"")</f>
        <v/>
      </c>
      <c r="B951" s="21" t="str">
        <f>IF(Summary!J952&lt;&gt;"",Summary!J952,"")</f>
        <v/>
      </c>
      <c r="C951" s="44" t="str">
        <f>IF(Summary!E952+Summary!H952&gt;0,Summary!E952+Summary!H952,"")</f>
        <v/>
      </c>
      <c r="D951" s="40" t="str">
        <f>IF(Summary!L952&lt;&gt;"",Summary!L952,"")</f>
        <v/>
      </c>
      <c r="E951" s="40" t="str">
        <f>IF(Summary!M952&lt;&gt;"",Summary!M952,"")</f>
        <v/>
      </c>
      <c r="F951" s="20" t="str">
        <f>IF(Summary!N952&lt;&gt;"",Summary!N952,"")</f>
        <v/>
      </c>
      <c r="G951" s="20" t="str">
        <f>IF(Summary!O952&lt;&gt;"",Summary!O952,"")</f>
        <v/>
      </c>
    </row>
    <row r="952" spans="1:7">
      <c r="A952" s="39" t="str">
        <f>IF(Summary!A953&lt;&gt;"",Summary!A953,"")</f>
        <v/>
      </c>
      <c r="B952" s="21" t="str">
        <f>IF(Summary!J953&lt;&gt;"",Summary!J953,"")</f>
        <v/>
      </c>
      <c r="C952" s="44" t="str">
        <f>IF(Summary!E953+Summary!H953&gt;0,Summary!E953+Summary!H953,"")</f>
        <v/>
      </c>
      <c r="D952" s="40" t="str">
        <f>IF(Summary!L953&lt;&gt;"",Summary!L953,"")</f>
        <v/>
      </c>
      <c r="E952" s="40" t="str">
        <f>IF(Summary!M953&lt;&gt;"",Summary!M953,"")</f>
        <v/>
      </c>
      <c r="F952" s="20" t="str">
        <f>IF(Summary!N953&lt;&gt;"",Summary!N953,"")</f>
        <v/>
      </c>
      <c r="G952" s="20" t="str">
        <f>IF(Summary!O953&lt;&gt;"",Summary!O953,"")</f>
        <v/>
      </c>
    </row>
    <row r="953" spans="1:7">
      <c r="A953" s="39" t="str">
        <f>IF(Summary!A954&lt;&gt;"",Summary!A954,"")</f>
        <v/>
      </c>
      <c r="B953" s="21" t="str">
        <f>IF(Summary!J954&lt;&gt;"",Summary!J954,"")</f>
        <v/>
      </c>
      <c r="C953" s="44" t="str">
        <f>IF(Summary!E954+Summary!H954&gt;0,Summary!E954+Summary!H954,"")</f>
        <v/>
      </c>
      <c r="D953" s="40" t="str">
        <f>IF(Summary!L954&lt;&gt;"",Summary!L954,"")</f>
        <v/>
      </c>
      <c r="E953" s="40" t="str">
        <f>IF(Summary!M954&lt;&gt;"",Summary!M954,"")</f>
        <v/>
      </c>
      <c r="F953" s="20" t="str">
        <f>IF(Summary!N954&lt;&gt;"",Summary!N954,"")</f>
        <v/>
      </c>
      <c r="G953" s="20" t="str">
        <f>IF(Summary!O954&lt;&gt;"",Summary!O954,"")</f>
        <v/>
      </c>
    </row>
    <row r="954" spans="1:7">
      <c r="A954" s="39" t="str">
        <f>IF(Summary!A955&lt;&gt;"",Summary!A955,"")</f>
        <v/>
      </c>
      <c r="B954" s="21" t="str">
        <f>IF(Summary!J955&lt;&gt;"",Summary!J955,"")</f>
        <v/>
      </c>
      <c r="C954" s="44" t="str">
        <f>IF(Summary!E955+Summary!H955&gt;0,Summary!E955+Summary!H955,"")</f>
        <v/>
      </c>
      <c r="D954" s="40" t="str">
        <f>IF(Summary!L955&lt;&gt;"",Summary!L955,"")</f>
        <v/>
      </c>
      <c r="E954" s="40" t="str">
        <f>IF(Summary!M955&lt;&gt;"",Summary!M955,"")</f>
        <v/>
      </c>
      <c r="F954" s="20" t="str">
        <f>IF(Summary!N955&lt;&gt;"",Summary!N955,"")</f>
        <v/>
      </c>
      <c r="G954" s="20" t="str">
        <f>IF(Summary!O955&lt;&gt;"",Summary!O955,"")</f>
        <v/>
      </c>
    </row>
    <row r="955" spans="1:7">
      <c r="A955" s="39" t="str">
        <f>IF(Summary!A956&lt;&gt;"",Summary!A956,"")</f>
        <v/>
      </c>
      <c r="B955" s="21" t="str">
        <f>IF(Summary!J956&lt;&gt;"",Summary!J956,"")</f>
        <v/>
      </c>
      <c r="C955" s="44" t="str">
        <f>IF(Summary!E956+Summary!H956&gt;0,Summary!E956+Summary!H956,"")</f>
        <v/>
      </c>
      <c r="D955" s="40" t="str">
        <f>IF(Summary!L956&lt;&gt;"",Summary!L956,"")</f>
        <v/>
      </c>
      <c r="E955" s="40" t="str">
        <f>IF(Summary!M956&lt;&gt;"",Summary!M956,"")</f>
        <v/>
      </c>
      <c r="F955" s="20" t="str">
        <f>IF(Summary!N956&lt;&gt;"",Summary!N956,"")</f>
        <v/>
      </c>
      <c r="G955" s="20" t="str">
        <f>IF(Summary!O956&lt;&gt;"",Summary!O956,"")</f>
        <v/>
      </c>
    </row>
    <row r="956" spans="1:7">
      <c r="A956" s="39" t="str">
        <f>IF(Summary!A957&lt;&gt;"",Summary!A957,"")</f>
        <v/>
      </c>
      <c r="B956" s="21" t="str">
        <f>IF(Summary!J957&lt;&gt;"",Summary!J957,"")</f>
        <v/>
      </c>
      <c r="C956" s="44" t="str">
        <f>IF(Summary!E957+Summary!H957&gt;0,Summary!E957+Summary!H957,"")</f>
        <v/>
      </c>
      <c r="D956" s="40" t="str">
        <f>IF(Summary!L957&lt;&gt;"",Summary!L957,"")</f>
        <v/>
      </c>
      <c r="E956" s="40" t="str">
        <f>IF(Summary!M957&lt;&gt;"",Summary!M957,"")</f>
        <v/>
      </c>
      <c r="F956" s="20" t="str">
        <f>IF(Summary!N957&lt;&gt;"",Summary!N957,"")</f>
        <v/>
      </c>
      <c r="G956" s="20" t="str">
        <f>IF(Summary!O957&lt;&gt;"",Summary!O957,"")</f>
        <v/>
      </c>
    </row>
    <row r="957" spans="1:7">
      <c r="A957" s="39" t="str">
        <f>IF(Summary!A958&lt;&gt;"",Summary!A958,"")</f>
        <v/>
      </c>
      <c r="B957" s="21" t="str">
        <f>IF(Summary!J958&lt;&gt;"",Summary!J958,"")</f>
        <v/>
      </c>
      <c r="C957" s="44" t="str">
        <f>IF(Summary!E958+Summary!H958&gt;0,Summary!E958+Summary!H958,"")</f>
        <v/>
      </c>
      <c r="D957" s="40" t="str">
        <f>IF(Summary!L958&lt;&gt;"",Summary!L958,"")</f>
        <v/>
      </c>
      <c r="E957" s="40" t="str">
        <f>IF(Summary!M958&lt;&gt;"",Summary!M958,"")</f>
        <v/>
      </c>
      <c r="F957" s="20" t="str">
        <f>IF(Summary!N958&lt;&gt;"",Summary!N958,"")</f>
        <v/>
      </c>
      <c r="G957" s="20" t="str">
        <f>IF(Summary!O958&lt;&gt;"",Summary!O958,"")</f>
        <v/>
      </c>
    </row>
    <row r="958" spans="1:7">
      <c r="A958" s="39" t="str">
        <f>IF(Summary!A959&lt;&gt;"",Summary!A959,"")</f>
        <v/>
      </c>
      <c r="B958" s="21" t="str">
        <f>IF(Summary!J959&lt;&gt;"",Summary!J959,"")</f>
        <v/>
      </c>
      <c r="C958" s="44" t="str">
        <f>IF(Summary!E959+Summary!H959&gt;0,Summary!E959+Summary!H959,"")</f>
        <v/>
      </c>
      <c r="D958" s="40" t="str">
        <f>IF(Summary!L959&lt;&gt;"",Summary!L959,"")</f>
        <v/>
      </c>
      <c r="E958" s="40" t="str">
        <f>IF(Summary!M959&lt;&gt;"",Summary!M959,"")</f>
        <v/>
      </c>
      <c r="F958" s="20" t="str">
        <f>IF(Summary!N959&lt;&gt;"",Summary!N959,"")</f>
        <v/>
      </c>
      <c r="G958" s="20" t="str">
        <f>IF(Summary!O959&lt;&gt;"",Summary!O959,"")</f>
        <v/>
      </c>
    </row>
    <row r="959" spans="1:7">
      <c r="A959" s="39" t="str">
        <f>IF(Summary!A960&lt;&gt;"",Summary!A960,"")</f>
        <v/>
      </c>
      <c r="B959" s="21" t="str">
        <f>IF(Summary!J960&lt;&gt;"",Summary!J960,"")</f>
        <v/>
      </c>
      <c r="C959" s="44" t="str">
        <f>IF(Summary!E960+Summary!H960&gt;0,Summary!E960+Summary!H960,"")</f>
        <v/>
      </c>
      <c r="D959" s="40" t="str">
        <f>IF(Summary!L960&lt;&gt;"",Summary!L960,"")</f>
        <v/>
      </c>
      <c r="E959" s="40" t="str">
        <f>IF(Summary!M960&lt;&gt;"",Summary!M960,"")</f>
        <v/>
      </c>
      <c r="F959" s="20" t="str">
        <f>IF(Summary!N960&lt;&gt;"",Summary!N960,"")</f>
        <v/>
      </c>
      <c r="G959" s="20" t="str">
        <f>IF(Summary!O960&lt;&gt;"",Summary!O960,"")</f>
        <v/>
      </c>
    </row>
    <row r="960" spans="1:7">
      <c r="A960" s="39" t="str">
        <f>IF(Summary!A961&lt;&gt;"",Summary!A961,"")</f>
        <v/>
      </c>
      <c r="B960" s="21" t="str">
        <f>IF(Summary!J961&lt;&gt;"",Summary!J961,"")</f>
        <v/>
      </c>
      <c r="C960" s="44" t="str">
        <f>IF(Summary!E961+Summary!H961&gt;0,Summary!E961+Summary!H961,"")</f>
        <v/>
      </c>
      <c r="D960" s="40" t="str">
        <f>IF(Summary!L961&lt;&gt;"",Summary!L961,"")</f>
        <v/>
      </c>
      <c r="E960" s="40" t="str">
        <f>IF(Summary!M961&lt;&gt;"",Summary!M961,"")</f>
        <v/>
      </c>
      <c r="F960" s="20" t="str">
        <f>IF(Summary!N961&lt;&gt;"",Summary!N961,"")</f>
        <v/>
      </c>
      <c r="G960" s="20" t="str">
        <f>IF(Summary!O961&lt;&gt;"",Summary!O961,"")</f>
        <v/>
      </c>
    </row>
    <row r="961" spans="1:7">
      <c r="A961" s="39" t="str">
        <f>IF(Summary!A962&lt;&gt;"",Summary!A962,"")</f>
        <v/>
      </c>
      <c r="B961" s="21" t="str">
        <f>IF(Summary!J962&lt;&gt;"",Summary!J962,"")</f>
        <v/>
      </c>
      <c r="C961" s="44" t="str">
        <f>IF(Summary!E962+Summary!H962&gt;0,Summary!E962+Summary!H962,"")</f>
        <v/>
      </c>
      <c r="D961" s="40" t="str">
        <f>IF(Summary!L962&lt;&gt;"",Summary!L962,"")</f>
        <v/>
      </c>
      <c r="E961" s="40" t="str">
        <f>IF(Summary!M962&lt;&gt;"",Summary!M962,"")</f>
        <v/>
      </c>
      <c r="F961" s="20" t="str">
        <f>IF(Summary!N962&lt;&gt;"",Summary!N962,"")</f>
        <v/>
      </c>
      <c r="G961" s="20" t="str">
        <f>IF(Summary!O962&lt;&gt;"",Summary!O962,"")</f>
        <v/>
      </c>
    </row>
    <row r="962" spans="1:7">
      <c r="A962" s="39" t="str">
        <f>IF(Summary!A963&lt;&gt;"",Summary!A963,"")</f>
        <v/>
      </c>
      <c r="B962" s="21" t="str">
        <f>IF(Summary!J963&lt;&gt;"",Summary!J963,"")</f>
        <v/>
      </c>
      <c r="C962" s="44" t="str">
        <f>IF(Summary!E963+Summary!H963&gt;0,Summary!E963+Summary!H963,"")</f>
        <v/>
      </c>
      <c r="D962" s="40" t="str">
        <f>IF(Summary!L963&lt;&gt;"",Summary!L963,"")</f>
        <v/>
      </c>
      <c r="E962" s="40" t="str">
        <f>IF(Summary!M963&lt;&gt;"",Summary!M963,"")</f>
        <v/>
      </c>
      <c r="F962" s="20" t="str">
        <f>IF(Summary!N963&lt;&gt;"",Summary!N963,"")</f>
        <v/>
      </c>
      <c r="G962" s="20" t="str">
        <f>IF(Summary!O963&lt;&gt;"",Summary!O963,"")</f>
        <v/>
      </c>
    </row>
    <row r="963" spans="1:7">
      <c r="A963" s="39" t="str">
        <f>IF(Summary!A964&lt;&gt;"",Summary!A964,"")</f>
        <v/>
      </c>
      <c r="B963" s="21" t="str">
        <f>IF(Summary!J964&lt;&gt;"",Summary!J964,"")</f>
        <v/>
      </c>
      <c r="C963" s="44" t="str">
        <f>IF(Summary!E964+Summary!H964&gt;0,Summary!E964+Summary!H964,"")</f>
        <v/>
      </c>
      <c r="D963" s="40" t="str">
        <f>IF(Summary!L964&lt;&gt;"",Summary!L964,"")</f>
        <v/>
      </c>
      <c r="E963" s="40" t="str">
        <f>IF(Summary!M964&lt;&gt;"",Summary!M964,"")</f>
        <v/>
      </c>
      <c r="F963" s="20" t="str">
        <f>IF(Summary!N964&lt;&gt;"",Summary!N964,"")</f>
        <v/>
      </c>
      <c r="G963" s="20" t="str">
        <f>IF(Summary!O964&lt;&gt;"",Summary!O964,"")</f>
        <v/>
      </c>
    </row>
    <row r="964" spans="1:7">
      <c r="A964" s="39" t="str">
        <f>IF(Summary!A965&lt;&gt;"",Summary!A965,"")</f>
        <v/>
      </c>
      <c r="B964" s="21" t="str">
        <f>IF(Summary!J965&lt;&gt;"",Summary!J965,"")</f>
        <v/>
      </c>
      <c r="C964" s="44" t="str">
        <f>IF(Summary!E965+Summary!H965&gt;0,Summary!E965+Summary!H965,"")</f>
        <v/>
      </c>
      <c r="D964" s="40" t="str">
        <f>IF(Summary!L965&lt;&gt;"",Summary!L965,"")</f>
        <v/>
      </c>
      <c r="E964" s="40" t="str">
        <f>IF(Summary!M965&lt;&gt;"",Summary!M965,"")</f>
        <v/>
      </c>
      <c r="F964" s="20" t="str">
        <f>IF(Summary!N965&lt;&gt;"",Summary!N965,"")</f>
        <v/>
      </c>
      <c r="G964" s="20" t="str">
        <f>IF(Summary!O965&lt;&gt;"",Summary!O965,"")</f>
        <v/>
      </c>
    </row>
    <row r="965" spans="1:7">
      <c r="A965" s="39" t="str">
        <f>IF(Summary!A966&lt;&gt;"",Summary!A966,"")</f>
        <v/>
      </c>
      <c r="B965" s="21" t="str">
        <f>IF(Summary!J966&lt;&gt;"",Summary!J966,"")</f>
        <v/>
      </c>
      <c r="C965" s="44" t="str">
        <f>IF(Summary!E966+Summary!H966&gt;0,Summary!E966+Summary!H966,"")</f>
        <v/>
      </c>
      <c r="D965" s="40" t="str">
        <f>IF(Summary!L966&lt;&gt;"",Summary!L966,"")</f>
        <v/>
      </c>
      <c r="E965" s="40" t="str">
        <f>IF(Summary!M966&lt;&gt;"",Summary!M966,"")</f>
        <v/>
      </c>
      <c r="F965" s="20" t="str">
        <f>IF(Summary!N966&lt;&gt;"",Summary!N966,"")</f>
        <v/>
      </c>
      <c r="G965" s="20" t="str">
        <f>IF(Summary!O966&lt;&gt;"",Summary!O966,"")</f>
        <v/>
      </c>
    </row>
    <row r="966" spans="1:7">
      <c r="A966" s="39" t="str">
        <f>IF(Summary!A967&lt;&gt;"",Summary!A967,"")</f>
        <v/>
      </c>
      <c r="B966" s="21" t="str">
        <f>IF(Summary!J967&lt;&gt;"",Summary!J967,"")</f>
        <v/>
      </c>
      <c r="C966" s="44" t="str">
        <f>IF(Summary!E967+Summary!H967&gt;0,Summary!E967+Summary!H967,"")</f>
        <v/>
      </c>
      <c r="D966" s="40" t="str">
        <f>IF(Summary!L967&lt;&gt;"",Summary!L967,"")</f>
        <v/>
      </c>
      <c r="E966" s="40" t="str">
        <f>IF(Summary!M967&lt;&gt;"",Summary!M967,"")</f>
        <v/>
      </c>
      <c r="F966" s="20" t="str">
        <f>IF(Summary!N967&lt;&gt;"",Summary!N967,"")</f>
        <v/>
      </c>
      <c r="G966" s="20" t="str">
        <f>IF(Summary!O967&lt;&gt;"",Summary!O967,"")</f>
        <v/>
      </c>
    </row>
    <row r="967" spans="1:7">
      <c r="A967" s="39" t="str">
        <f>IF(Summary!A968&lt;&gt;"",Summary!A968,"")</f>
        <v/>
      </c>
      <c r="B967" s="21" t="str">
        <f>IF(Summary!J968&lt;&gt;"",Summary!J968,"")</f>
        <v/>
      </c>
      <c r="C967" s="44" t="str">
        <f>IF(Summary!E968+Summary!H968&gt;0,Summary!E968+Summary!H968,"")</f>
        <v/>
      </c>
      <c r="D967" s="40" t="str">
        <f>IF(Summary!L968&lt;&gt;"",Summary!L968,"")</f>
        <v/>
      </c>
      <c r="E967" s="40" t="str">
        <f>IF(Summary!M968&lt;&gt;"",Summary!M968,"")</f>
        <v/>
      </c>
      <c r="F967" s="20" t="str">
        <f>IF(Summary!N968&lt;&gt;"",Summary!N968,"")</f>
        <v/>
      </c>
      <c r="G967" s="20" t="str">
        <f>IF(Summary!O968&lt;&gt;"",Summary!O968,"")</f>
        <v/>
      </c>
    </row>
    <row r="968" spans="1:7">
      <c r="A968" s="39" t="str">
        <f>IF(Summary!A969&lt;&gt;"",Summary!A969,"")</f>
        <v/>
      </c>
      <c r="B968" s="21" t="str">
        <f>IF(Summary!J969&lt;&gt;"",Summary!J969,"")</f>
        <v/>
      </c>
      <c r="C968" s="44" t="str">
        <f>IF(Summary!E969+Summary!H969&gt;0,Summary!E969+Summary!H969,"")</f>
        <v/>
      </c>
      <c r="D968" s="40" t="str">
        <f>IF(Summary!L969&lt;&gt;"",Summary!L969,"")</f>
        <v/>
      </c>
      <c r="E968" s="40" t="str">
        <f>IF(Summary!M969&lt;&gt;"",Summary!M969,"")</f>
        <v/>
      </c>
      <c r="F968" s="20" t="str">
        <f>IF(Summary!N969&lt;&gt;"",Summary!N969,"")</f>
        <v/>
      </c>
      <c r="G968" s="20" t="str">
        <f>IF(Summary!O969&lt;&gt;"",Summary!O969,"")</f>
        <v/>
      </c>
    </row>
    <row r="969" spans="1:7">
      <c r="A969" s="39" t="str">
        <f>IF(Summary!A970&lt;&gt;"",Summary!A970,"")</f>
        <v/>
      </c>
      <c r="B969" s="21" t="str">
        <f>IF(Summary!J970&lt;&gt;"",Summary!J970,"")</f>
        <v/>
      </c>
      <c r="C969" s="44" t="str">
        <f>IF(Summary!E970+Summary!H970&gt;0,Summary!E970+Summary!H970,"")</f>
        <v/>
      </c>
      <c r="D969" s="40" t="str">
        <f>IF(Summary!L970&lt;&gt;"",Summary!L970,"")</f>
        <v/>
      </c>
      <c r="E969" s="40" t="str">
        <f>IF(Summary!M970&lt;&gt;"",Summary!M970,"")</f>
        <v/>
      </c>
      <c r="F969" s="20" t="str">
        <f>IF(Summary!N970&lt;&gt;"",Summary!N970,"")</f>
        <v/>
      </c>
      <c r="G969" s="20" t="str">
        <f>IF(Summary!O970&lt;&gt;"",Summary!O970,"")</f>
        <v/>
      </c>
    </row>
    <row r="970" spans="1:7">
      <c r="A970" s="39" t="str">
        <f>IF(Summary!A971&lt;&gt;"",Summary!A971,"")</f>
        <v/>
      </c>
      <c r="B970" s="21" t="str">
        <f>IF(Summary!J971&lt;&gt;"",Summary!J971,"")</f>
        <v/>
      </c>
      <c r="C970" s="44" t="str">
        <f>IF(Summary!E971+Summary!H971&gt;0,Summary!E971+Summary!H971,"")</f>
        <v/>
      </c>
      <c r="D970" s="40" t="str">
        <f>IF(Summary!L971&lt;&gt;"",Summary!L971,"")</f>
        <v/>
      </c>
      <c r="E970" s="40" t="str">
        <f>IF(Summary!M971&lt;&gt;"",Summary!M971,"")</f>
        <v/>
      </c>
      <c r="F970" s="20" t="str">
        <f>IF(Summary!N971&lt;&gt;"",Summary!N971,"")</f>
        <v/>
      </c>
      <c r="G970" s="20" t="str">
        <f>IF(Summary!O971&lt;&gt;"",Summary!O971,"")</f>
        <v/>
      </c>
    </row>
    <row r="971" spans="1:7">
      <c r="A971" s="39" t="str">
        <f>IF(Summary!A972&lt;&gt;"",Summary!A972,"")</f>
        <v/>
      </c>
      <c r="B971" s="21" t="str">
        <f>IF(Summary!J972&lt;&gt;"",Summary!J972,"")</f>
        <v/>
      </c>
      <c r="C971" s="44" t="str">
        <f>IF(Summary!E972+Summary!H972&gt;0,Summary!E972+Summary!H972,"")</f>
        <v/>
      </c>
      <c r="D971" s="40" t="str">
        <f>IF(Summary!L972&lt;&gt;"",Summary!L972,"")</f>
        <v/>
      </c>
      <c r="E971" s="40" t="str">
        <f>IF(Summary!M972&lt;&gt;"",Summary!M972,"")</f>
        <v/>
      </c>
      <c r="F971" s="20" t="str">
        <f>IF(Summary!N972&lt;&gt;"",Summary!N972,"")</f>
        <v/>
      </c>
      <c r="G971" s="20" t="str">
        <f>IF(Summary!O972&lt;&gt;"",Summary!O972,"")</f>
        <v/>
      </c>
    </row>
    <row r="972" spans="1:7">
      <c r="A972" s="39" t="str">
        <f>IF(Summary!A973&lt;&gt;"",Summary!A973,"")</f>
        <v/>
      </c>
      <c r="B972" s="21" t="str">
        <f>IF(Summary!J973&lt;&gt;"",Summary!J973,"")</f>
        <v/>
      </c>
      <c r="C972" s="44" t="str">
        <f>IF(Summary!E973+Summary!H973&gt;0,Summary!E973+Summary!H973,"")</f>
        <v/>
      </c>
      <c r="D972" s="40" t="str">
        <f>IF(Summary!L973&lt;&gt;"",Summary!L973,"")</f>
        <v/>
      </c>
      <c r="E972" s="40" t="str">
        <f>IF(Summary!M973&lt;&gt;"",Summary!M973,"")</f>
        <v/>
      </c>
      <c r="F972" s="20" t="str">
        <f>IF(Summary!N973&lt;&gt;"",Summary!N973,"")</f>
        <v/>
      </c>
      <c r="G972" s="20" t="str">
        <f>IF(Summary!O973&lt;&gt;"",Summary!O973,"")</f>
        <v/>
      </c>
    </row>
    <row r="973" spans="1:7">
      <c r="A973" s="39" t="str">
        <f>IF(Summary!A974&lt;&gt;"",Summary!A974,"")</f>
        <v/>
      </c>
      <c r="B973" s="21" t="str">
        <f>IF(Summary!J974&lt;&gt;"",Summary!J974,"")</f>
        <v/>
      </c>
      <c r="C973" s="44" t="str">
        <f>IF(Summary!E974+Summary!H974&gt;0,Summary!E974+Summary!H974,"")</f>
        <v/>
      </c>
      <c r="D973" s="40" t="str">
        <f>IF(Summary!L974&lt;&gt;"",Summary!L974,"")</f>
        <v/>
      </c>
      <c r="E973" s="40" t="str">
        <f>IF(Summary!M974&lt;&gt;"",Summary!M974,"")</f>
        <v/>
      </c>
      <c r="F973" s="20" t="str">
        <f>IF(Summary!N974&lt;&gt;"",Summary!N974,"")</f>
        <v/>
      </c>
      <c r="G973" s="20" t="str">
        <f>IF(Summary!O974&lt;&gt;"",Summary!O974,"")</f>
        <v/>
      </c>
    </row>
    <row r="974" spans="1:7">
      <c r="A974" s="39" t="str">
        <f>IF(Summary!A975&lt;&gt;"",Summary!A975,"")</f>
        <v/>
      </c>
      <c r="B974" s="21" t="str">
        <f>IF(Summary!J975&lt;&gt;"",Summary!J975,"")</f>
        <v/>
      </c>
      <c r="C974" s="44" t="str">
        <f>IF(Summary!E975+Summary!H975&gt;0,Summary!E975+Summary!H975,"")</f>
        <v/>
      </c>
      <c r="D974" s="40" t="str">
        <f>IF(Summary!L975&lt;&gt;"",Summary!L975,"")</f>
        <v/>
      </c>
      <c r="E974" s="40" t="str">
        <f>IF(Summary!M975&lt;&gt;"",Summary!M975,"")</f>
        <v/>
      </c>
      <c r="F974" s="20" t="str">
        <f>IF(Summary!N975&lt;&gt;"",Summary!N975,"")</f>
        <v/>
      </c>
      <c r="G974" s="20" t="str">
        <f>IF(Summary!O975&lt;&gt;"",Summary!O975,"")</f>
        <v/>
      </c>
    </row>
    <row r="975" spans="1:7">
      <c r="A975" s="39" t="str">
        <f>IF(Summary!A976&lt;&gt;"",Summary!A976,"")</f>
        <v/>
      </c>
      <c r="B975" s="21" t="str">
        <f>IF(Summary!J976&lt;&gt;"",Summary!J976,"")</f>
        <v/>
      </c>
      <c r="C975" s="44" t="str">
        <f>IF(Summary!E976+Summary!H976&gt;0,Summary!E976+Summary!H976,"")</f>
        <v/>
      </c>
      <c r="D975" s="40" t="str">
        <f>IF(Summary!L976&lt;&gt;"",Summary!L976,"")</f>
        <v/>
      </c>
      <c r="E975" s="40" t="str">
        <f>IF(Summary!M976&lt;&gt;"",Summary!M976,"")</f>
        <v/>
      </c>
      <c r="F975" s="20" t="str">
        <f>IF(Summary!N976&lt;&gt;"",Summary!N976,"")</f>
        <v/>
      </c>
      <c r="G975" s="20" t="str">
        <f>IF(Summary!O976&lt;&gt;"",Summary!O976,"")</f>
        <v/>
      </c>
    </row>
    <row r="976" spans="1:7">
      <c r="A976" s="39" t="str">
        <f>IF(Summary!A977&lt;&gt;"",Summary!A977,"")</f>
        <v/>
      </c>
      <c r="B976" s="21" t="str">
        <f>IF(Summary!J977&lt;&gt;"",Summary!J977,"")</f>
        <v/>
      </c>
      <c r="C976" s="44" t="str">
        <f>IF(Summary!E977+Summary!H977&gt;0,Summary!E977+Summary!H977,"")</f>
        <v/>
      </c>
      <c r="D976" s="40" t="str">
        <f>IF(Summary!L977&lt;&gt;"",Summary!L977,"")</f>
        <v/>
      </c>
      <c r="E976" s="40" t="str">
        <f>IF(Summary!M977&lt;&gt;"",Summary!M977,"")</f>
        <v/>
      </c>
      <c r="F976" s="20" t="str">
        <f>IF(Summary!N977&lt;&gt;"",Summary!N977,"")</f>
        <v/>
      </c>
      <c r="G976" s="20" t="str">
        <f>IF(Summary!O977&lt;&gt;"",Summary!O977,"")</f>
        <v/>
      </c>
    </row>
    <row r="977" spans="1:7">
      <c r="A977" s="39" t="str">
        <f>IF(Summary!A978&lt;&gt;"",Summary!A978,"")</f>
        <v/>
      </c>
      <c r="B977" s="21" t="str">
        <f>IF(Summary!J978&lt;&gt;"",Summary!J978,"")</f>
        <v/>
      </c>
      <c r="C977" s="44" t="str">
        <f>IF(Summary!E978+Summary!H978&gt;0,Summary!E978+Summary!H978,"")</f>
        <v/>
      </c>
      <c r="D977" s="40" t="str">
        <f>IF(Summary!L978&lt;&gt;"",Summary!L978,"")</f>
        <v/>
      </c>
      <c r="E977" s="40" t="str">
        <f>IF(Summary!M978&lt;&gt;"",Summary!M978,"")</f>
        <v/>
      </c>
      <c r="F977" s="20" t="str">
        <f>IF(Summary!N978&lt;&gt;"",Summary!N978,"")</f>
        <v/>
      </c>
      <c r="G977" s="20" t="str">
        <f>IF(Summary!O978&lt;&gt;"",Summary!O978,"")</f>
        <v/>
      </c>
    </row>
    <row r="978" spans="1:7">
      <c r="A978" s="39" t="str">
        <f>IF(Summary!A979&lt;&gt;"",Summary!A979,"")</f>
        <v/>
      </c>
      <c r="B978" s="21" t="str">
        <f>IF(Summary!J979&lt;&gt;"",Summary!J979,"")</f>
        <v/>
      </c>
      <c r="C978" s="44" t="str">
        <f>IF(Summary!E979+Summary!H979&gt;0,Summary!E979+Summary!H979,"")</f>
        <v/>
      </c>
      <c r="D978" s="40" t="str">
        <f>IF(Summary!L979&lt;&gt;"",Summary!L979,"")</f>
        <v/>
      </c>
      <c r="E978" s="40" t="str">
        <f>IF(Summary!M979&lt;&gt;"",Summary!M979,"")</f>
        <v/>
      </c>
      <c r="F978" s="20" t="str">
        <f>IF(Summary!N979&lt;&gt;"",Summary!N979,"")</f>
        <v/>
      </c>
      <c r="G978" s="20" t="str">
        <f>IF(Summary!O979&lt;&gt;"",Summary!O979,"")</f>
        <v/>
      </c>
    </row>
    <row r="979" spans="1:7">
      <c r="A979" s="39" t="str">
        <f>IF(Summary!A980&lt;&gt;"",Summary!A980,"")</f>
        <v/>
      </c>
      <c r="B979" s="21" t="str">
        <f>IF(Summary!J980&lt;&gt;"",Summary!J980,"")</f>
        <v/>
      </c>
      <c r="C979" s="44" t="str">
        <f>IF(Summary!E980+Summary!H980&gt;0,Summary!E980+Summary!H980,"")</f>
        <v/>
      </c>
      <c r="D979" s="40" t="str">
        <f>IF(Summary!L980&lt;&gt;"",Summary!L980,"")</f>
        <v/>
      </c>
      <c r="E979" s="40" t="str">
        <f>IF(Summary!M980&lt;&gt;"",Summary!M980,"")</f>
        <v/>
      </c>
      <c r="F979" s="20" t="str">
        <f>IF(Summary!N980&lt;&gt;"",Summary!N980,"")</f>
        <v/>
      </c>
      <c r="G979" s="20" t="str">
        <f>IF(Summary!O980&lt;&gt;"",Summary!O980,"")</f>
        <v/>
      </c>
    </row>
    <row r="980" spans="1:7">
      <c r="A980" s="39" t="str">
        <f>IF(Summary!A981&lt;&gt;"",Summary!A981,"")</f>
        <v/>
      </c>
      <c r="B980" s="21" t="str">
        <f>IF(Summary!J981&lt;&gt;"",Summary!J981,"")</f>
        <v/>
      </c>
      <c r="C980" s="44" t="str">
        <f>IF(Summary!E981+Summary!H981&gt;0,Summary!E981+Summary!H981,"")</f>
        <v/>
      </c>
      <c r="D980" s="40" t="str">
        <f>IF(Summary!L981&lt;&gt;"",Summary!L981,"")</f>
        <v/>
      </c>
      <c r="E980" s="40" t="str">
        <f>IF(Summary!M981&lt;&gt;"",Summary!M981,"")</f>
        <v/>
      </c>
      <c r="F980" s="20" t="str">
        <f>IF(Summary!N981&lt;&gt;"",Summary!N981,"")</f>
        <v/>
      </c>
      <c r="G980" s="20" t="str">
        <f>IF(Summary!O981&lt;&gt;"",Summary!O981,"")</f>
        <v/>
      </c>
    </row>
    <row r="981" spans="1:7">
      <c r="A981" s="39" t="str">
        <f>IF(Summary!A982&lt;&gt;"",Summary!A982,"")</f>
        <v/>
      </c>
      <c r="B981" s="21" t="str">
        <f>IF(Summary!J982&lt;&gt;"",Summary!J982,"")</f>
        <v/>
      </c>
      <c r="C981" s="44" t="str">
        <f>IF(Summary!E982+Summary!H982&gt;0,Summary!E982+Summary!H982,"")</f>
        <v/>
      </c>
      <c r="D981" s="40" t="str">
        <f>IF(Summary!L982&lt;&gt;"",Summary!L982,"")</f>
        <v/>
      </c>
      <c r="E981" s="40" t="str">
        <f>IF(Summary!M982&lt;&gt;"",Summary!M982,"")</f>
        <v/>
      </c>
      <c r="F981" s="20" t="str">
        <f>IF(Summary!N982&lt;&gt;"",Summary!N982,"")</f>
        <v/>
      </c>
      <c r="G981" s="20" t="str">
        <f>IF(Summary!O982&lt;&gt;"",Summary!O982,"")</f>
        <v/>
      </c>
    </row>
    <row r="982" spans="1:7">
      <c r="A982" s="39" t="str">
        <f>IF(Summary!A983&lt;&gt;"",Summary!A983,"")</f>
        <v/>
      </c>
      <c r="B982" s="21" t="str">
        <f>IF(Summary!J983&lt;&gt;"",Summary!J983,"")</f>
        <v/>
      </c>
      <c r="C982" s="44" t="str">
        <f>IF(Summary!E983+Summary!H983&gt;0,Summary!E983+Summary!H983,"")</f>
        <v/>
      </c>
      <c r="D982" s="40" t="str">
        <f>IF(Summary!L983&lt;&gt;"",Summary!L983,"")</f>
        <v/>
      </c>
      <c r="E982" s="40" t="str">
        <f>IF(Summary!M983&lt;&gt;"",Summary!M983,"")</f>
        <v/>
      </c>
      <c r="F982" s="20" t="str">
        <f>IF(Summary!N983&lt;&gt;"",Summary!N983,"")</f>
        <v/>
      </c>
      <c r="G982" s="20" t="str">
        <f>IF(Summary!O983&lt;&gt;"",Summary!O983,"")</f>
        <v/>
      </c>
    </row>
    <row r="983" spans="1:7">
      <c r="A983" s="39" t="str">
        <f>IF(Summary!A984&lt;&gt;"",Summary!A984,"")</f>
        <v/>
      </c>
      <c r="B983" s="21" t="str">
        <f>IF(Summary!J984&lt;&gt;"",Summary!J984,"")</f>
        <v/>
      </c>
      <c r="C983" s="44" t="str">
        <f>IF(Summary!E984+Summary!H984&gt;0,Summary!E984+Summary!H984,"")</f>
        <v/>
      </c>
      <c r="D983" s="40" t="str">
        <f>IF(Summary!L984&lt;&gt;"",Summary!L984,"")</f>
        <v/>
      </c>
      <c r="E983" s="40" t="str">
        <f>IF(Summary!M984&lt;&gt;"",Summary!M984,"")</f>
        <v/>
      </c>
      <c r="F983" s="20" t="str">
        <f>IF(Summary!N984&lt;&gt;"",Summary!N984,"")</f>
        <v/>
      </c>
      <c r="G983" s="20" t="str">
        <f>IF(Summary!O984&lt;&gt;"",Summary!O984,"")</f>
        <v/>
      </c>
    </row>
    <row r="984" spans="1:7">
      <c r="B984" s="21" t="str">
        <f>IF(Summary!J985&lt;&gt;"",Summary!J985,"")</f>
        <v/>
      </c>
      <c r="C984" s="44" t="str">
        <f>IF(Summary!E985+Summary!H985&gt;0,Summary!E985+Summary!H985,"")</f>
        <v/>
      </c>
      <c r="D984" s="40" t="str">
        <f>IF(Summary!L985&lt;&gt;"",Summary!L985,"")</f>
        <v/>
      </c>
      <c r="E984" s="40" t="str">
        <f>IF(Summary!M985&lt;&gt;"",Summary!M985,"")</f>
        <v/>
      </c>
      <c r="F984" s="20" t="str">
        <f>IF(Summary!N985&lt;&gt;"",Summary!N985,"")</f>
        <v/>
      </c>
      <c r="G984" s="20" t="str">
        <f>IF(Summary!O985&lt;&gt;"",Summary!O985,"")</f>
        <v/>
      </c>
    </row>
    <row r="985" spans="1:7">
      <c r="B985" s="21" t="str">
        <f>IF(Summary!J986&lt;&gt;"",Summary!J986,"")</f>
        <v/>
      </c>
      <c r="C985" s="44" t="str">
        <f>IF(Summary!E986+Summary!H986&gt;0,Summary!E986+Summary!H986,"")</f>
        <v/>
      </c>
      <c r="D985" s="40" t="str">
        <f>IF(Summary!L986&lt;&gt;"",Summary!L986,"")</f>
        <v/>
      </c>
      <c r="E985" s="40" t="str">
        <f>IF(Summary!M986&lt;&gt;"",Summary!M986,"")</f>
        <v/>
      </c>
      <c r="F985" s="20" t="str">
        <f>IF(Summary!N986&lt;&gt;"",Summary!N986,"")</f>
        <v/>
      </c>
      <c r="G985" s="20" t="str">
        <f>IF(Summary!O986&lt;&gt;"",Summary!O986,"")</f>
        <v/>
      </c>
    </row>
  </sheetData>
  <mergeCells count="16">
    <mergeCell ref="A1:G1"/>
    <mergeCell ref="E2:F2"/>
    <mergeCell ref="G2:G9"/>
    <mergeCell ref="E3:F3"/>
    <mergeCell ref="B7:D7"/>
    <mergeCell ref="B9:D9"/>
    <mergeCell ref="B8:F8"/>
    <mergeCell ref="E7:F7"/>
    <mergeCell ref="E4:F4"/>
    <mergeCell ref="E5:F5"/>
    <mergeCell ref="E6:F6"/>
    <mergeCell ref="B2:D2"/>
    <mergeCell ref="B3:D3"/>
    <mergeCell ref="B4:D4"/>
    <mergeCell ref="B5:D5"/>
    <mergeCell ref="B6:D6"/>
  </mergeCells>
  <phoneticPr fontId="9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7"/>
  <sheetViews>
    <sheetView workbookViewId="0">
      <selection activeCell="A5" sqref="A5"/>
    </sheetView>
  </sheetViews>
  <sheetFormatPr defaultRowHeight="15"/>
  <cols>
    <col min="1" max="1" width="14.140625" bestFit="1" customWidth="1"/>
    <col min="2" max="2" width="48.28515625" bestFit="1" customWidth="1"/>
    <col min="3" max="3" width="60.7109375" bestFit="1" customWidth="1"/>
  </cols>
  <sheetData>
    <row r="1" spans="1:3">
      <c r="A1" s="4" t="s">
        <v>3</v>
      </c>
      <c r="B1" s="5" t="s">
        <v>4</v>
      </c>
      <c r="C1" s="5" t="s">
        <v>5</v>
      </c>
    </row>
    <row r="2" spans="1:3">
      <c r="A2" s="1" t="s">
        <v>6</v>
      </c>
      <c r="B2" s="2" t="s">
        <v>7</v>
      </c>
      <c r="C2" s="3" t="s">
        <v>8</v>
      </c>
    </row>
    <row r="3" spans="1:3" ht="22.5">
      <c r="A3" s="1" t="s">
        <v>9</v>
      </c>
      <c r="B3" s="2" t="s">
        <v>10</v>
      </c>
      <c r="C3" s="2" t="s">
        <v>17</v>
      </c>
    </row>
    <row r="4" spans="1:3" ht="22.5">
      <c r="A4" s="1" t="s">
        <v>11</v>
      </c>
      <c r="B4" s="2" t="s">
        <v>12</v>
      </c>
      <c r="C4" s="2" t="s">
        <v>19</v>
      </c>
    </row>
    <row r="5" spans="1:3" ht="22.5">
      <c r="A5" s="1" t="s">
        <v>13</v>
      </c>
      <c r="B5" s="2" t="s">
        <v>14</v>
      </c>
      <c r="C5" s="2" t="s">
        <v>18</v>
      </c>
    </row>
    <row r="6" spans="1:3" ht="22.5">
      <c r="A6" s="1" t="s">
        <v>15</v>
      </c>
      <c r="B6" s="2" t="s">
        <v>16</v>
      </c>
      <c r="C6" s="2" t="s">
        <v>20</v>
      </c>
    </row>
    <row r="12" spans="1:3" ht="51.75" customHeight="1"/>
    <row r="13" spans="1:3" ht="99" customHeight="1"/>
    <row r="14" spans="1:3" ht="73.5" customHeight="1"/>
    <row r="16" spans="1:3" ht="86.25" customHeight="1"/>
    <row r="17" ht="73.5" customHeight="1"/>
  </sheetData>
  <phoneticPr fontId="9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273"/>
  <sheetViews>
    <sheetView topLeftCell="A205" zoomScaleNormal="100" workbookViewId="0">
      <selection activeCell="E238" sqref="E238"/>
    </sheetView>
  </sheetViews>
  <sheetFormatPr defaultColWidth="9.140625" defaultRowHeight="12.75"/>
  <cols>
    <col min="1" max="1" width="65.28515625" style="7" bestFit="1" customWidth="1"/>
    <col min="2" max="2" width="6.7109375" style="50" bestFit="1" customWidth="1"/>
    <col min="3" max="3" width="65.140625" style="45" bestFit="1" customWidth="1"/>
    <col min="4" max="4" width="9.140625" style="99"/>
    <col min="5" max="16384" width="9.140625" style="7"/>
  </cols>
  <sheetData>
    <row r="1" spans="1:4">
      <c r="A1" s="53" t="s">
        <v>2</v>
      </c>
      <c r="B1" s="53" t="s">
        <v>22</v>
      </c>
      <c r="C1" s="88" t="s">
        <v>56</v>
      </c>
      <c r="D1" s="100" t="s">
        <v>40</v>
      </c>
    </row>
    <row r="2" spans="1:4">
      <c r="A2" s="54" t="s">
        <v>258</v>
      </c>
      <c r="B2" s="55" t="s">
        <v>281</v>
      </c>
      <c r="C2" s="89" t="s">
        <v>310</v>
      </c>
      <c r="D2" s="101"/>
    </row>
    <row r="3" spans="1:4">
      <c r="A3" s="54" t="s">
        <v>256</v>
      </c>
      <c r="B3" s="55" t="s">
        <v>281</v>
      </c>
      <c r="C3" s="89" t="s">
        <v>310</v>
      </c>
      <c r="D3" s="101"/>
    </row>
    <row r="4" spans="1:4">
      <c r="A4" s="54" t="s">
        <v>200</v>
      </c>
      <c r="B4" s="55" t="s">
        <v>24</v>
      </c>
      <c r="C4" s="90" t="s">
        <v>311</v>
      </c>
      <c r="D4" s="101"/>
    </row>
    <row r="5" spans="1:4">
      <c r="A5" s="54" t="s">
        <v>204</v>
      </c>
      <c r="B5" s="55" t="s">
        <v>24</v>
      </c>
      <c r="C5" s="90" t="s">
        <v>311</v>
      </c>
      <c r="D5" s="101"/>
    </row>
    <row r="6" spans="1:4">
      <c r="A6" s="54" t="s">
        <v>203</v>
      </c>
      <c r="B6" s="55" t="s">
        <v>24</v>
      </c>
      <c r="C6" s="90" t="s">
        <v>311</v>
      </c>
      <c r="D6" s="101"/>
    </row>
    <row r="7" spans="1:4">
      <c r="A7" s="56" t="s">
        <v>238</v>
      </c>
      <c r="B7" s="55" t="s">
        <v>135</v>
      </c>
      <c r="C7" s="90" t="s">
        <v>312</v>
      </c>
      <c r="D7" s="101"/>
    </row>
    <row r="8" spans="1:4">
      <c r="A8" s="54" t="s">
        <v>251</v>
      </c>
      <c r="B8" s="55" t="s">
        <v>135</v>
      </c>
      <c r="C8" s="90" t="s">
        <v>312</v>
      </c>
      <c r="D8" s="101"/>
    </row>
    <row r="9" spans="1:4">
      <c r="A9" s="54" t="s">
        <v>252</v>
      </c>
      <c r="B9" s="55" t="s">
        <v>135</v>
      </c>
      <c r="C9" s="90" t="s">
        <v>312</v>
      </c>
      <c r="D9" s="101"/>
    </row>
    <row r="10" spans="1:4">
      <c r="A10" s="54" t="s">
        <v>250</v>
      </c>
      <c r="B10" s="55" t="s">
        <v>135</v>
      </c>
      <c r="C10" s="90" t="s">
        <v>312</v>
      </c>
      <c r="D10" s="101"/>
    </row>
    <row r="11" spans="1:4">
      <c r="A11" s="57" t="s">
        <v>245</v>
      </c>
      <c r="B11" s="58" t="s">
        <v>106</v>
      </c>
      <c r="C11" s="90" t="s">
        <v>292</v>
      </c>
      <c r="D11" s="101"/>
    </row>
    <row r="12" spans="1:4">
      <c r="A12" s="59" t="s">
        <v>184</v>
      </c>
      <c r="B12" s="58" t="s">
        <v>135</v>
      </c>
      <c r="C12" s="90" t="s">
        <v>292</v>
      </c>
      <c r="D12" s="101"/>
    </row>
    <row r="13" spans="1:4">
      <c r="A13" s="54" t="s">
        <v>293</v>
      </c>
      <c r="B13" s="55" t="s">
        <v>135</v>
      </c>
      <c r="C13" s="90" t="s">
        <v>292</v>
      </c>
      <c r="D13" s="101"/>
    </row>
    <row r="14" spans="1:4">
      <c r="A14" s="54" t="s">
        <v>288</v>
      </c>
      <c r="B14" s="55" t="s">
        <v>106</v>
      </c>
      <c r="C14" s="90" t="s">
        <v>292</v>
      </c>
      <c r="D14" s="101"/>
    </row>
    <row r="15" spans="1:4">
      <c r="A15" s="57" t="s">
        <v>294</v>
      </c>
      <c r="B15" s="55" t="s">
        <v>106</v>
      </c>
      <c r="C15" s="90" t="s">
        <v>292</v>
      </c>
      <c r="D15" s="101"/>
    </row>
    <row r="16" spans="1:4">
      <c r="A16" s="54" t="s">
        <v>289</v>
      </c>
      <c r="B16" s="55" t="s">
        <v>106</v>
      </c>
      <c r="C16" s="90" t="s">
        <v>292</v>
      </c>
      <c r="D16" s="101"/>
    </row>
    <row r="17" spans="1:4">
      <c r="A17" s="54" t="s">
        <v>243</v>
      </c>
      <c r="B17" s="55" t="s">
        <v>106</v>
      </c>
      <c r="C17" s="90" t="s">
        <v>292</v>
      </c>
      <c r="D17" s="101"/>
    </row>
    <row r="18" spans="1:4">
      <c r="A18" s="54" t="s">
        <v>260</v>
      </c>
      <c r="B18" s="55" t="s">
        <v>106</v>
      </c>
      <c r="C18" s="90" t="s">
        <v>292</v>
      </c>
      <c r="D18" s="101"/>
    </row>
    <row r="19" spans="1:4">
      <c r="A19" s="57" t="s">
        <v>295</v>
      </c>
      <c r="B19" s="55" t="s">
        <v>106</v>
      </c>
      <c r="C19" s="90" t="s">
        <v>292</v>
      </c>
      <c r="D19" s="101"/>
    </row>
    <row r="20" spans="1:4">
      <c r="A20" s="54" t="s">
        <v>244</v>
      </c>
      <c r="B20" s="55" t="s">
        <v>106</v>
      </c>
      <c r="C20" s="90" t="s">
        <v>292</v>
      </c>
      <c r="D20" s="101"/>
    </row>
    <row r="21" spans="1:4">
      <c r="A21" s="54" t="s">
        <v>158</v>
      </c>
      <c r="B21" s="55" t="s">
        <v>135</v>
      </c>
      <c r="C21" s="90" t="s">
        <v>292</v>
      </c>
      <c r="D21" s="101"/>
    </row>
    <row r="22" spans="1:4">
      <c r="A22" s="54" t="s">
        <v>199</v>
      </c>
      <c r="B22" s="55" t="s">
        <v>24</v>
      </c>
      <c r="C22" s="90" t="s">
        <v>313</v>
      </c>
      <c r="D22" s="101"/>
    </row>
    <row r="23" spans="1:4">
      <c r="A23" s="59" t="s">
        <v>171</v>
      </c>
      <c r="B23" s="55" t="s">
        <v>135</v>
      </c>
      <c r="C23" s="90" t="s">
        <v>313</v>
      </c>
      <c r="D23" s="101"/>
    </row>
    <row r="24" spans="1:4">
      <c r="A24" s="59" t="s">
        <v>170</v>
      </c>
      <c r="B24" s="55" t="s">
        <v>135</v>
      </c>
      <c r="C24" s="90" t="s">
        <v>313</v>
      </c>
      <c r="D24" s="101"/>
    </row>
    <row r="25" spans="1:4">
      <c r="A25" s="54" t="s">
        <v>33</v>
      </c>
      <c r="B25" s="58" t="s">
        <v>27</v>
      </c>
      <c r="C25" s="90" t="s">
        <v>314</v>
      </c>
      <c r="D25" s="101"/>
    </row>
    <row r="26" spans="1:4">
      <c r="A26" s="59" t="s">
        <v>125</v>
      </c>
      <c r="B26" s="58" t="s">
        <v>281</v>
      </c>
      <c r="C26" s="90" t="s">
        <v>314</v>
      </c>
      <c r="D26" s="101"/>
    </row>
    <row r="27" spans="1:4">
      <c r="A27" s="60" t="s">
        <v>138</v>
      </c>
      <c r="B27" s="55" t="s">
        <v>281</v>
      </c>
      <c r="C27" s="90" t="s">
        <v>314</v>
      </c>
      <c r="D27" s="101"/>
    </row>
    <row r="28" spans="1:4">
      <c r="A28" s="60" t="s">
        <v>139</v>
      </c>
      <c r="B28" s="55" t="s">
        <v>281</v>
      </c>
      <c r="C28" s="90" t="s">
        <v>314</v>
      </c>
      <c r="D28" s="101"/>
    </row>
    <row r="29" spans="1:4">
      <c r="A29" s="54" t="s">
        <v>54</v>
      </c>
      <c r="B29" s="58" t="s">
        <v>281</v>
      </c>
      <c r="C29" s="90" t="s">
        <v>314</v>
      </c>
      <c r="D29" s="101"/>
    </row>
    <row r="30" spans="1:4">
      <c r="A30" s="60" t="s">
        <v>142</v>
      </c>
      <c r="B30" s="55" t="s">
        <v>281</v>
      </c>
      <c r="C30" s="90" t="s">
        <v>314</v>
      </c>
      <c r="D30" s="101"/>
    </row>
    <row r="31" spans="1:4">
      <c r="A31" s="54" t="s">
        <v>49</v>
      </c>
      <c r="B31" s="58" t="s">
        <v>281</v>
      </c>
      <c r="C31" s="90" t="s">
        <v>64</v>
      </c>
      <c r="D31" s="101"/>
    </row>
    <row r="32" spans="1:4">
      <c r="A32" s="61" t="s">
        <v>178</v>
      </c>
      <c r="B32" s="62" t="s">
        <v>27</v>
      </c>
      <c r="C32" s="90" t="s">
        <v>64</v>
      </c>
      <c r="D32" s="101"/>
    </row>
    <row r="33" spans="1:4">
      <c r="A33" s="63" t="s">
        <v>143</v>
      </c>
      <c r="B33" s="55" t="s">
        <v>281</v>
      </c>
      <c r="C33" s="90" t="s">
        <v>64</v>
      </c>
      <c r="D33" s="101"/>
    </row>
    <row r="34" spans="1:4">
      <c r="A34" s="64" t="s">
        <v>144</v>
      </c>
      <c r="B34" s="55" t="s">
        <v>281</v>
      </c>
      <c r="C34" s="90" t="s">
        <v>64</v>
      </c>
      <c r="D34" s="101"/>
    </row>
    <row r="35" spans="1:4">
      <c r="A35" s="54" t="s">
        <v>220</v>
      </c>
      <c r="B35" s="55" t="s">
        <v>135</v>
      </c>
      <c r="C35" s="90" t="s">
        <v>64</v>
      </c>
      <c r="D35" s="101"/>
    </row>
    <row r="36" spans="1:4">
      <c r="A36" s="54" t="s">
        <v>219</v>
      </c>
      <c r="B36" s="55" t="s">
        <v>135</v>
      </c>
      <c r="C36" s="90" t="s">
        <v>64</v>
      </c>
      <c r="D36" s="101"/>
    </row>
    <row r="37" spans="1:4">
      <c r="A37" s="54" t="s">
        <v>296</v>
      </c>
      <c r="B37" s="55" t="s">
        <v>27</v>
      </c>
      <c r="C37" s="90" t="s">
        <v>64</v>
      </c>
      <c r="D37" s="101"/>
    </row>
    <row r="38" spans="1:4">
      <c r="A38" s="54" t="s">
        <v>297</v>
      </c>
      <c r="B38" s="55" t="s">
        <v>27</v>
      </c>
      <c r="C38" s="90" t="s">
        <v>64</v>
      </c>
      <c r="D38" s="101"/>
    </row>
    <row r="39" spans="1:4">
      <c r="A39" s="54" t="s">
        <v>298</v>
      </c>
      <c r="B39" s="55" t="s">
        <v>27</v>
      </c>
      <c r="C39" s="90" t="s">
        <v>64</v>
      </c>
      <c r="D39" s="101"/>
    </row>
    <row r="40" spans="1:4">
      <c r="A40" s="54" t="s">
        <v>299</v>
      </c>
      <c r="B40" s="55" t="s">
        <v>27</v>
      </c>
      <c r="C40" s="90" t="s">
        <v>64</v>
      </c>
      <c r="D40" s="101"/>
    </row>
    <row r="41" spans="1:4">
      <c r="A41" s="54" t="s">
        <v>90</v>
      </c>
      <c r="B41" s="58" t="s">
        <v>27</v>
      </c>
      <c r="C41" s="90" t="s">
        <v>332</v>
      </c>
      <c r="D41" s="101"/>
    </row>
    <row r="42" spans="1:4">
      <c r="A42" s="54" t="s">
        <v>91</v>
      </c>
      <c r="B42" s="58" t="s">
        <v>27</v>
      </c>
      <c r="C42" s="90" t="s">
        <v>332</v>
      </c>
      <c r="D42" s="101"/>
    </row>
    <row r="43" spans="1:4">
      <c r="A43" s="54" t="s">
        <v>92</v>
      </c>
      <c r="B43" s="58" t="s">
        <v>27</v>
      </c>
      <c r="C43" s="90" t="s">
        <v>332</v>
      </c>
      <c r="D43" s="101"/>
    </row>
    <row r="44" spans="1:4">
      <c r="A44" s="65" t="s">
        <v>181</v>
      </c>
      <c r="B44" s="55" t="s">
        <v>24</v>
      </c>
      <c r="C44" s="90" t="s">
        <v>332</v>
      </c>
      <c r="D44" s="101"/>
    </row>
    <row r="45" spans="1:4">
      <c r="A45" s="66" t="s">
        <v>70</v>
      </c>
      <c r="B45" s="67" t="s">
        <v>27</v>
      </c>
      <c r="C45" s="90" t="s">
        <v>332</v>
      </c>
      <c r="D45" s="101"/>
    </row>
    <row r="46" spans="1:4">
      <c r="A46" s="66" t="s">
        <v>71</v>
      </c>
      <c r="B46" s="67" t="s">
        <v>27</v>
      </c>
      <c r="C46" s="90" t="s">
        <v>332</v>
      </c>
      <c r="D46" s="101"/>
    </row>
    <row r="47" spans="1:4">
      <c r="A47" s="66" t="s">
        <v>72</v>
      </c>
      <c r="B47" s="67" t="s">
        <v>27</v>
      </c>
      <c r="C47" s="90" t="s">
        <v>332</v>
      </c>
      <c r="D47" s="101"/>
    </row>
    <row r="48" spans="1:4">
      <c r="A48" s="65" t="s">
        <v>172</v>
      </c>
      <c r="B48" s="62" t="s">
        <v>27</v>
      </c>
      <c r="C48" s="90" t="s">
        <v>332</v>
      </c>
      <c r="D48" s="101"/>
    </row>
    <row r="49" spans="1:4">
      <c r="A49" s="68" t="s">
        <v>173</v>
      </c>
      <c r="B49" s="62" t="s">
        <v>27</v>
      </c>
      <c r="C49" s="90" t="s">
        <v>332</v>
      </c>
      <c r="D49" s="101"/>
    </row>
    <row r="50" spans="1:4">
      <c r="A50" s="68" t="s">
        <v>174</v>
      </c>
      <c r="B50" s="62" t="s">
        <v>27</v>
      </c>
      <c r="C50" s="90" t="s">
        <v>332</v>
      </c>
      <c r="D50" s="101"/>
    </row>
    <row r="51" spans="1:4">
      <c r="A51" s="68" t="s">
        <v>175</v>
      </c>
      <c r="B51" s="62" t="s">
        <v>27</v>
      </c>
      <c r="C51" s="90" t="s">
        <v>332</v>
      </c>
      <c r="D51" s="101"/>
    </row>
    <row r="52" spans="1:4">
      <c r="A52" s="59" t="s">
        <v>120</v>
      </c>
      <c r="B52" s="58" t="s">
        <v>27</v>
      </c>
      <c r="C52" s="90" t="s">
        <v>332</v>
      </c>
      <c r="D52" s="101"/>
    </row>
    <row r="53" spans="1:4">
      <c r="A53" s="59" t="s">
        <v>122</v>
      </c>
      <c r="B53" s="58" t="s">
        <v>27</v>
      </c>
      <c r="C53" s="90" t="s">
        <v>332</v>
      </c>
      <c r="D53" s="101"/>
    </row>
    <row r="54" spans="1:4">
      <c r="A54" s="68" t="s">
        <v>180</v>
      </c>
      <c r="B54" s="62" t="s">
        <v>27</v>
      </c>
      <c r="C54" s="90" t="s">
        <v>332</v>
      </c>
      <c r="D54" s="101"/>
    </row>
    <row r="55" spans="1:4">
      <c r="A55" s="54" t="s">
        <v>230</v>
      </c>
      <c r="B55" s="55" t="s">
        <v>27</v>
      </c>
      <c r="C55" s="90" t="s">
        <v>332</v>
      </c>
      <c r="D55" s="101"/>
    </row>
    <row r="56" spans="1:4">
      <c r="A56" s="54" t="s">
        <v>231</v>
      </c>
      <c r="B56" s="55" t="s">
        <v>27</v>
      </c>
      <c r="C56" s="90" t="s">
        <v>332</v>
      </c>
      <c r="D56" s="101"/>
    </row>
    <row r="57" spans="1:4">
      <c r="A57" s="54" t="s">
        <v>232</v>
      </c>
      <c r="B57" s="55" t="s">
        <v>27</v>
      </c>
      <c r="C57" s="90" t="s">
        <v>332</v>
      </c>
      <c r="D57" s="101"/>
    </row>
    <row r="58" spans="1:4">
      <c r="A58" s="54" t="s">
        <v>233</v>
      </c>
      <c r="B58" s="55" t="s">
        <v>27</v>
      </c>
      <c r="C58" s="90" t="s">
        <v>332</v>
      </c>
      <c r="D58" s="101"/>
    </row>
    <row r="59" spans="1:4">
      <c r="A59" s="66" t="s">
        <v>167</v>
      </c>
      <c r="B59" s="58" t="s">
        <v>106</v>
      </c>
      <c r="C59" s="90" t="s">
        <v>332</v>
      </c>
      <c r="D59" s="101"/>
    </row>
    <row r="60" spans="1:4">
      <c r="A60" s="66" t="s">
        <v>157</v>
      </c>
      <c r="B60" s="58" t="s">
        <v>106</v>
      </c>
      <c r="C60" s="91" t="s">
        <v>315</v>
      </c>
      <c r="D60" s="101"/>
    </row>
    <row r="61" spans="1:4">
      <c r="A61" s="54" t="s">
        <v>274</v>
      </c>
      <c r="B61" s="58" t="s">
        <v>24</v>
      </c>
      <c r="C61" s="91" t="s">
        <v>315</v>
      </c>
      <c r="D61" s="101"/>
    </row>
    <row r="62" spans="1:4">
      <c r="A62" s="66" t="s">
        <v>41</v>
      </c>
      <c r="B62" s="58" t="s">
        <v>106</v>
      </c>
      <c r="C62" s="90" t="s">
        <v>316</v>
      </c>
      <c r="D62" s="101"/>
    </row>
    <row r="63" spans="1:4">
      <c r="A63" s="59" t="s">
        <v>131</v>
      </c>
      <c r="B63" s="58" t="s">
        <v>106</v>
      </c>
      <c r="C63" s="90" t="s">
        <v>316</v>
      </c>
      <c r="D63" s="101"/>
    </row>
    <row r="64" spans="1:4">
      <c r="A64" s="54" t="s">
        <v>221</v>
      </c>
      <c r="B64" s="55" t="s">
        <v>24</v>
      </c>
      <c r="C64" s="90" t="s">
        <v>316</v>
      </c>
      <c r="D64" s="101"/>
    </row>
    <row r="65" spans="1:4">
      <c r="A65" s="54" t="s">
        <v>222</v>
      </c>
      <c r="B65" s="55" t="s">
        <v>24</v>
      </c>
      <c r="C65" s="90" t="s">
        <v>316</v>
      </c>
      <c r="D65" s="101"/>
    </row>
    <row r="66" spans="1:4">
      <c r="A66" s="54" t="s">
        <v>246</v>
      </c>
      <c r="B66" s="55" t="s">
        <v>106</v>
      </c>
      <c r="C66" s="90" t="s">
        <v>316</v>
      </c>
      <c r="D66" s="101"/>
    </row>
    <row r="67" spans="1:4">
      <c r="A67" s="54" t="s">
        <v>162</v>
      </c>
      <c r="B67" s="55" t="s">
        <v>135</v>
      </c>
      <c r="C67" s="90" t="s">
        <v>316</v>
      </c>
      <c r="D67" s="101"/>
    </row>
    <row r="68" spans="1:4">
      <c r="A68" s="54" t="s">
        <v>300</v>
      </c>
      <c r="B68" s="55" t="s">
        <v>24</v>
      </c>
      <c r="C68" s="90" t="s">
        <v>317</v>
      </c>
      <c r="D68" s="101"/>
    </row>
    <row r="69" spans="1:4">
      <c r="A69" s="54" t="s">
        <v>104</v>
      </c>
      <c r="B69" s="69" t="s">
        <v>24</v>
      </c>
      <c r="C69" s="91" t="s">
        <v>108</v>
      </c>
      <c r="D69" s="101"/>
    </row>
    <row r="70" spans="1:4">
      <c r="A70" s="54" t="s">
        <v>105</v>
      </c>
      <c r="B70" s="55" t="s">
        <v>24</v>
      </c>
      <c r="C70" s="91" t="s">
        <v>108</v>
      </c>
      <c r="D70" s="101"/>
    </row>
    <row r="71" spans="1:4">
      <c r="A71" s="59" t="s">
        <v>107</v>
      </c>
      <c r="B71" s="55" t="s">
        <v>24</v>
      </c>
      <c r="C71" s="91" t="s">
        <v>108</v>
      </c>
      <c r="D71" s="101"/>
    </row>
    <row r="72" spans="1:4">
      <c r="A72" s="59" t="s">
        <v>165</v>
      </c>
      <c r="B72" s="58" t="s">
        <v>135</v>
      </c>
      <c r="C72" s="91" t="s">
        <v>108</v>
      </c>
      <c r="D72" s="101"/>
    </row>
    <row r="73" spans="1:4">
      <c r="A73" s="59" t="s">
        <v>110</v>
      </c>
      <c r="B73" s="55" t="s">
        <v>24</v>
      </c>
      <c r="C73" s="91" t="s">
        <v>108</v>
      </c>
      <c r="D73" s="101"/>
    </row>
    <row r="74" spans="1:4">
      <c r="A74" s="59" t="s">
        <v>111</v>
      </c>
      <c r="B74" s="55" t="s">
        <v>24</v>
      </c>
      <c r="C74" s="91" t="s">
        <v>108</v>
      </c>
      <c r="D74" s="101"/>
    </row>
    <row r="75" spans="1:4">
      <c r="A75" s="59" t="s">
        <v>124</v>
      </c>
      <c r="B75" s="58" t="s">
        <v>281</v>
      </c>
      <c r="C75" s="91" t="s">
        <v>108</v>
      </c>
      <c r="D75" s="101"/>
    </row>
    <row r="76" spans="1:4">
      <c r="A76" s="54" t="s">
        <v>240</v>
      </c>
      <c r="B76" s="55" t="s">
        <v>106</v>
      </c>
      <c r="C76" s="91" t="s">
        <v>108</v>
      </c>
      <c r="D76" s="101"/>
    </row>
    <row r="77" spans="1:4">
      <c r="A77" s="54" t="s">
        <v>285</v>
      </c>
      <c r="B77" s="55" t="s">
        <v>106</v>
      </c>
      <c r="C77" s="90" t="s">
        <v>290</v>
      </c>
      <c r="D77" s="101"/>
    </row>
    <row r="78" spans="1:4">
      <c r="A78" s="54" t="s">
        <v>286</v>
      </c>
      <c r="B78" s="55" t="s">
        <v>106</v>
      </c>
      <c r="C78" s="90" t="s">
        <v>290</v>
      </c>
      <c r="D78" s="101"/>
    </row>
    <row r="79" spans="1:4">
      <c r="A79" s="54" t="s">
        <v>334</v>
      </c>
      <c r="B79" s="55" t="s">
        <v>106</v>
      </c>
      <c r="C79" s="90" t="s">
        <v>290</v>
      </c>
      <c r="D79" s="101"/>
    </row>
    <row r="80" spans="1:4">
      <c r="A80" s="54" t="s">
        <v>282</v>
      </c>
      <c r="B80" s="55" t="s">
        <v>106</v>
      </c>
      <c r="C80" s="90" t="s">
        <v>290</v>
      </c>
      <c r="D80" s="101"/>
    </row>
    <row r="81" spans="1:4">
      <c r="A81" s="54" t="s">
        <v>283</v>
      </c>
      <c r="B81" s="55" t="s">
        <v>106</v>
      </c>
      <c r="C81" s="90" t="s">
        <v>290</v>
      </c>
      <c r="D81" s="101"/>
    </row>
    <row r="82" spans="1:4">
      <c r="A82" s="54" t="s">
        <v>284</v>
      </c>
      <c r="B82" s="55" t="s">
        <v>106</v>
      </c>
      <c r="C82" s="90" t="s">
        <v>290</v>
      </c>
      <c r="D82" s="101"/>
    </row>
    <row r="83" spans="1:4">
      <c r="A83" s="70" t="s">
        <v>186</v>
      </c>
      <c r="B83" s="71" t="s">
        <v>24</v>
      </c>
      <c r="C83" s="92" t="s">
        <v>318</v>
      </c>
      <c r="D83" s="101"/>
    </row>
    <row r="84" spans="1:4">
      <c r="A84" s="70" t="s">
        <v>185</v>
      </c>
      <c r="B84" s="71" t="s">
        <v>24</v>
      </c>
      <c r="C84" s="92" t="s">
        <v>318</v>
      </c>
      <c r="D84" s="101"/>
    </row>
    <row r="85" spans="1:4">
      <c r="A85" s="72" t="s">
        <v>187</v>
      </c>
      <c r="B85" s="55" t="s">
        <v>24</v>
      </c>
      <c r="C85" s="92" t="s">
        <v>318</v>
      </c>
      <c r="D85" s="101"/>
    </row>
    <row r="86" spans="1:4">
      <c r="A86" s="54" t="s">
        <v>188</v>
      </c>
      <c r="B86" s="55" t="s">
        <v>24</v>
      </c>
      <c r="C86" s="92" t="s">
        <v>318</v>
      </c>
      <c r="D86" s="101"/>
    </row>
    <row r="87" spans="1:4">
      <c r="A87" s="73" t="s">
        <v>201</v>
      </c>
      <c r="B87" s="55" t="s">
        <v>135</v>
      </c>
      <c r="C87" s="92" t="s">
        <v>319</v>
      </c>
      <c r="D87" s="101"/>
    </row>
    <row r="88" spans="1:4">
      <c r="A88" s="54" t="s">
        <v>202</v>
      </c>
      <c r="B88" s="55" t="s">
        <v>135</v>
      </c>
      <c r="C88" s="92" t="s">
        <v>319</v>
      </c>
      <c r="D88" s="101"/>
    </row>
    <row r="89" spans="1:4">
      <c r="A89" s="74" t="s">
        <v>253</v>
      </c>
      <c r="B89" s="55" t="s">
        <v>135</v>
      </c>
      <c r="C89" s="92" t="s">
        <v>319</v>
      </c>
      <c r="D89" s="101"/>
    </row>
    <row r="90" spans="1:4">
      <c r="A90" s="74" t="s">
        <v>254</v>
      </c>
      <c r="B90" s="55" t="s">
        <v>135</v>
      </c>
      <c r="C90" s="92" t="s">
        <v>319</v>
      </c>
      <c r="D90" s="101"/>
    </row>
    <row r="91" spans="1:4">
      <c r="A91" s="74" t="s">
        <v>255</v>
      </c>
      <c r="B91" s="55" t="s">
        <v>135</v>
      </c>
      <c r="C91" s="92" t="s">
        <v>319</v>
      </c>
      <c r="D91" s="101"/>
    </row>
    <row r="92" spans="1:4">
      <c r="A92" s="75" t="s">
        <v>191</v>
      </c>
      <c r="B92" s="76" t="s">
        <v>281</v>
      </c>
      <c r="C92" s="93" t="s">
        <v>320</v>
      </c>
      <c r="D92" s="101"/>
    </row>
    <row r="93" spans="1:4">
      <c r="A93" s="70" t="s">
        <v>189</v>
      </c>
      <c r="B93" s="77" t="s">
        <v>281</v>
      </c>
      <c r="C93" s="93" t="s">
        <v>320</v>
      </c>
      <c r="D93" s="101"/>
    </row>
    <row r="94" spans="1:4">
      <c r="A94" s="59" t="s">
        <v>123</v>
      </c>
      <c r="B94" s="58" t="s">
        <v>106</v>
      </c>
      <c r="C94" s="93" t="s">
        <v>320</v>
      </c>
      <c r="D94" s="101"/>
    </row>
    <row r="95" spans="1:4">
      <c r="A95" s="70" t="s">
        <v>190</v>
      </c>
      <c r="B95" s="77" t="s">
        <v>281</v>
      </c>
      <c r="C95" s="93" t="s">
        <v>320</v>
      </c>
      <c r="D95" s="101"/>
    </row>
    <row r="96" spans="1:4">
      <c r="A96" s="54" t="s">
        <v>247</v>
      </c>
      <c r="B96" s="55" t="s">
        <v>106</v>
      </c>
      <c r="C96" s="93" t="s">
        <v>320</v>
      </c>
      <c r="D96" s="101"/>
    </row>
    <row r="97" spans="1:4">
      <c r="A97" s="54" t="s">
        <v>248</v>
      </c>
      <c r="B97" s="55" t="s">
        <v>106</v>
      </c>
      <c r="C97" s="90" t="s">
        <v>61</v>
      </c>
      <c r="D97" s="101"/>
    </row>
    <row r="98" spans="1:4">
      <c r="A98" s="66" t="s">
        <v>42</v>
      </c>
      <c r="B98" s="58" t="s">
        <v>106</v>
      </c>
      <c r="C98" s="90" t="s">
        <v>61</v>
      </c>
      <c r="D98" s="101"/>
    </row>
    <row r="99" spans="1:4">
      <c r="A99" s="54" t="s">
        <v>301</v>
      </c>
      <c r="B99" s="55" t="s">
        <v>281</v>
      </c>
      <c r="C99" s="90" t="s">
        <v>321</v>
      </c>
      <c r="D99" s="101"/>
    </row>
    <row r="100" spans="1:4">
      <c r="A100" s="54" t="s">
        <v>302</v>
      </c>
      <c r="B100" s="55" t="s">
        <v>281</v>
      </c>
      <c r="C100" s="90" t="s">
        <v>321</v>
      </c>
      <c r="D100" s="101"/>
    </row>
    <row r="101" spans="1:4">
      <c r="A101" s="54" t="s">
        <v>277</v>
      </c>
      <c r="B101" s="55" t="s">
        <v>106</v>
      </c>
      <c r="C101" s="90" t="s">
        <v>321</v>
      </c>
      <c r="D101" s="101"/>
    </row>
    <row r="102" spans="1:4">
      <c r="A102" s="54" t="s">
        <v>278</v>
      </c>
      <c r="B102" s="55" t="s">
        <v>106</v>
      </c>
      <c r="C102" s="90" t="s">
        <v>321</v>
      </c>
      <c r="D102" s="101"/>
    </row>
    <row r="103" spans="1:4">
      <c r="A103" s="57" t="s">
        <v>261</v>
      </c>
      <c r="B103" s="55" t="s">
        <v>106</v>
      </c>
      <c r="C103" s="90" t="s">
        <v>291</v>
      </c>
      <c r="D103" s="101"/>
    </row>
    <row r="104" spans="1:4">
      <c r="A104" s="57" t="s">
        <v>262</v>
      </c>
      <c r="B104" s="55" t="s">
        <v>106</v>
      </c>
      <c r="C104" s="90" t="s">
        <v>291</v>
      </c>
      <c r="D104" s="101"/>
    </row>
    <row r="105" spans="1:4">
      <c r="A105" s="54" t="s">
        <v>263</v>
      </c>
      <c r="B105" s="55" t="s">
        <v>106</v>
      </c>
      <c r="C105" s="90" t="s">
        <v>291</v>
      </c>
      <c r="D105" s="101"/>
    </row>
    <row r="106" spans="1:4">
      <c r="A106" s="54" t="s">
        <v>287</v>
      </c>
      <c r="B106" s="55" t="s">
        <v>106</v>
      </c>
      <c r="C106" s="90" t="s">
        <v>291</v>
      </c>
      <c r="D106" s="101"/>
    </row>
    <row r="107" spans="1:4">
      <c r="A107" s="74" t="s">
        <v>303</v>
      </c>
      <c r="B107" s="78" t="s">
        <v>27</v>
      </c>
      <c r="C107" s="90" t="s">
        <v>291</v>
      </c>
      <c r="D107" s="101"/>
    </row>
    <row r="108" spans="1:4">
      <c r="A108" s="54" t="s">
        <v>267</v>
      </c>
      <c r="B108" s="55" t="s">
        <v>24</v>
      </c>
      <c r="C108" s="90" t="s">
        <v>322</v>
      </c>
      <c r="D108" s="101"/>
    </row>
    <row r="109" spans="1:4">
      <c r="A109" s="54" t="s">
        <v>266</v>
      </c>
      <c r="B109" s="55" t="s">
        <v>24</v>
      </c>
      <c r="C109" s="90" t="s">
        <v>322</v>
      </c>
      <c r="D109" s="101"/>
    </row>
    <row r="110" spans="1:4">
      <c r="A110" s="54" t="s">
        <v>268</v>
      </c>
      <c r="B110" s="55" t="s">
        <v>24</v>
      </c>
      <c r="C110" s="90" t="s">
        <v>322</v>
      </c>
      <c r="D110" s="101"/>
    </row>
    <row r="111" spans="1:4">
      <c r="A111" s="54" t="s">
        <v>264</v>
      </c>
      <c r="B111" s="55" t="s">
        <v>24</v>
      </c>
      <c r="C111" s="90" t="s">
        <v>322</v>
      </c>
      <c r="D111" s="101"/>
    </row>
    <row r="112" spans="1:4">
      <c r="A112" s="54" t="s">
        <v>265</v>
      </c>
      <c r="B112" s="55" t="s">
        <v>24</v>
      </c>
      <c r="C112" s="90" t="s">
        <v>322</v>
      </c>
      <c r="D112" s="101"/>
    </row>
    <row r="113" spans="1:4">
      <c r="A113" s="54" t="s">
        <v>269</v>
      </c>
      <c r="B113" s="55" t="s">
        <v>24</v>
      </c>
      <c r="C113" s="90" t="s">
        <v>323</v>
      </c>
      <c r="D113" s="101"/>
    </row>
    <row r="114" spans="1:4">
      <c r="A114" s="54" t="s">
        <v>270</v>
      </c>
      <c r="B114" s="55" t="s">
        <v>24</v>
      </c>
      <c r="C114" s="90" t="s">
        <v>323</v>
      </c>
      <c r="D114" s="101"/>
    </row>
    <row r="115" spans="1:4">
      <c r="A115" s="54" t="s">
        <v>271</v>
      </c>
      <c r="B115" s="55" t="s">
        <v>24</v>
      </c>
      <c r="C115" s="90" t="s">
        <v>323</v>
      </c>
      <c r="D115" s="101"/>
    </row>
    <row r="116" spans="1:4">
      <c r="A116" s="54" t="s">
        <v>272</v>
      </c>
      <c r="B116" s="55" t="s">
        <v>24</v>
      </c>
      <c r="C116" s="90" t="s">
        <v>323</v>
      </c>
      <c r="D116" s="101"/>
    </row>
    <row r="117" spans="1:4">
      <c r="A117" s="60" t="s">
        <v>141</v>
      </c>
      <c r="B117" s="55" t="s">
        <v>281</v>
      </c>
      <c r="C117" s="90" t="s">
        <v>323</v>
      </c>
      <c r="D117" s="101"/>
    </row>
    <row r="118" spans="1:4">
      <c r="A118" s="54" t="s">
        <v>109</v>
      </c>
      <c r="B118" s="58" t="s">
        <v>281</v>
      </c>
      <c r="C118" s="90" t="s">
        <v>323</v>
      </c>
      <c r="D118" s="101"/>
    </row>
    <row r="119" spans="1:4">
      <c r="A119" s="59" t="s">
        <v>113</v>
      </c>
      <c r="B119" s="58" t="s">
        <v>281</v>
      </c>
      <c r="C119" s="90" t="s">
        <v>323</v>
      </c>
      <c r="D119" s="101"/>
    </row>
    <row r="120" spans="1:4">
      <c r="A120" s="59" t="s">
        <v>114</v>
      </c>
      <c r="B120" s="58" t="s">
        <v>281</v>
      </c>
      <c r="C120" s="90" t="s">
        <v>323</v>
      </c>
      <c r="D120" s="101"/>
    </row>
    <row r="121" spans="1:4">
      <c r="A121" s="54" t="s">
        <v>275</v>
      </c>
      <c r="B121" s="55" t="s">
        <v>106</v>
      </c>
      <c r="C121" s="90" t="s">
        <v>324</v>
      </c>
      <c r="D121" s="101"/>
    </row>
    <row r="122" spans="1:4">
      <c r="A122" s="54" t="s">
        <v>276</v>
      </c>
      <c r="B122" s="55" t="s">
        <v>106</v>
      </c>
      <c r="C122" s="90" t="s">
        <v>324</v>
      </c>
      <c r="D122" s="101"/>
    </row>
    <row r="123" spans="1:4">
      <c r="A123" s="54" t="s">
        <v>279</v>
      </c>
      <c r="B123" s="55" t="s">
        <v>106</v>
      </c>
      <c r="C123" s="90" t="s">
        <v>324</v>
      </c>
      <c r="D123" s="101"/>
    </row>
    <row r="124" spans="1:4">
      <c r="A124" s="54" t="s">
        <v>280</v>
      </c>
      <c r="B124" s="55" t="s">
        <v>106</v>
      </c>
      <c r="C124" s="90" t="s">
        <v>324</v>
      </c>
      <c r="D124" s="101"/>
    </row>
    <row r="125" spans="1:4">
      <c r="A125" s="54" t="s">
        <v>239</v>
      </c>
      <c r="B125" s="55" t="s">
        <v>106</v>
      </c>
      <c r="C125" s="90" t="s">
        <v>325</v>
      </c>
      <c r="D125" s="101"/>
    </row>
    <row r="126" spans="1:4">
      <c r="A126" s="66" t="s">
        <v>37</v>
      </c>
      <c r="B126" s="58" t="s">
        <v>106</v>
      </c>
      <c r="C126" s="90" t="s">
        <v>59</v>
      </c>
      <c r="D126" s="101"/>
    </row>
    <row r="127" spans="1:4">
      <c r="A127" s="66" t="s">
        <v>38</v>
      </c>
      <c r="B127" s="58" t="s">
        <v>106</v>
      </c>
      <c r="C127" s="90" t="s">
        <v>59</v>
      </c>
      <c r="D127" s="101"/>
    </row>
    <row r="128" spans="1:4">
      <c r="A128" s="66" t="s">
        <v>39</v>
      </c>
      <c r="B128" s="58" t="s">
        <v>106</v>
      </c>
      <c r="C128" s="90" t="s">
        <v>59</v>
      </c>
      <c r="D128" s="101"/>
    </row>
    <row r="129" spans="1:4">
      <c r="A129" s="66" t="s">
        <v>43</v>
      </c>
      <c r="B129" s="58" t="s">
        <v>106</v>
      </c>
      <c r="C129" s="90" t="s">
        <v>59</v>
      </c>
      <c r="D129" s="101"/>
    </row>
    <row r="130" spans="1:4">
      <c r="A130" s="66" t="s">
        <v>55</v>
      </c>
      <c r="B130" s="58" t="s">
        <v>106</v>
      </c>
      <c r="C130" s="90" t="s">
        <v>59</v>
      </c>
      <c r="D130" s="101"/>
    </row>
    <row r="131" spans="1:4">
      <c r="A131" s="66" t="s">
        <v>155</v>
      </c>
      <c r="B131" s="58" t="s">
        <v>106</v>
      </c>
      <c r="C131" s="90" t="s">
        <v>59</v>
      </c>
      <c r="D131" s="101"/>
    </row>
    <row r="132" spans="1:4">
      <c r="A132" s="59" t="s">
        <v>116</v>
      </c>
      <c r="B132" s="58" t="s">
        <v>106</v>
      </c>
      <c r="C132" s="90" t="s">
        <v>59</v>
      </c>
      <c r="D132" s="101"/>
    </row>
    <row r="133" spans="1:4">
      <c r="A133" s="59" t="s">
        <v>129</v>
      </c>
      <c r="B133" s="58" t="s">
        <v>106</v>
      </c>
      <c r="C133" s="90" t="s">
        <v>59</v>
      </c>
      <c r="D133" s="101"/>
    </row>
    <row r="134" spans="1:4">
      <c r="A134" s="79" t="s">
        <v>130</v>
      </c>
      <c r="B134" s="58" t="s">
        <v>106</v>
      </c>
      <c r="C134" s="90" t="s">
        <v>59</v>
      </c>
      <c r="D134" s="101"/>
    </row>
    <row r="135" spans="1:4">
      <c r="A135" s="59" t="s">
        <v>132</v>
      </c>
      <c r="B135" s="58" t="s">
        <v>106</v>
      </c>
      <c r="C135" s="90" t="s">
        <v>59</v>
      </c>
      <c r="D135" s="101"/>
    </row>
    <row r="136" spans="1:4">
      <c r="A136" s="59" t="s">
        <v>133</v>
      </c>
      <c r="B136" s="58" t="s">
        <v>106</v>
      </c>
      <c r="C136" s="90" t="s">
        <v>59</v>
      </c>
      <c r="D136" s="101"/>
    </row>
    <row r="137" spans="1:4">
      <c r="A137" s="59" t="s">
        <v>134</v>
      </c>
      <c r="B137" s="58" t="s">
        <v>106</v>
      </c>
      <c r="C137" s="90" t="s">
        <v>59</v>
      </c>
      <c r="D137" s="101"/>
    </row>
    <row r="138" spans="1:4">
      <c r="A138" s="54" t="s">
        <v>198</v>
      </c>
      <c r="B138" s="58" t="s">
        <v>106</v>
      </c>
      <c r="C138" s="90" t="s">
        <v>59</v>
      </c>
      <c r="D138" s="101"/>
    </row>
    <row r="139" spans="1:4">
      <c r="A139" s="54" t="s">
        <v>197</v>
      </c>
      <c r="B139" s="58" t="s">
        <v>106</v>
      </c>
      <c r="C139" s="90" t="s">
        <v>59</v>
      </c>
      <c r="D139" s="101"/>
    </row>
    <row r="140" spans="1:4">
      <c r="A140" s="54" t="s">
        <v>193</v>
      </c>
      <c r="B140" s="58" t="s">
        <v>106</v>
      </c>
      <c r="C140" s="90" t="s">
        <v>59</v>
      </c>
      <c r="D140" s="101"/>
    </row>
    <row r="141" spans="1:4">
      <c r="A141" s="54" t="s">
        <v>223</v>
      </c>
      <c r="B141" s="55" t="s">
        <v>106</v>
      </c>
      <c r="C141" s="90" t="s">
        <v>59</v>
      </c>
      <c r="D141" s="101"/>
    </row>
    <row r="142" spans="1:4">
      <c r="A142" s="54" t="s">
        <v>259</v>
      </c>
      <c r="B142" s="58" t="s">
        <v>281</v>
      </c>
      <c r="C142" s="90" t="s">
        <v>59</v>
      </c>
      <c r="D142" s="101"/>
    </row>
    <row r="143" spans="1:4">
      <c r="A143" s="56" t="s">
        <v>194</v>
      </c>
      <c r="B143" s="55" t="s">
        <v>106</v>
      </c>
      <c r="C143" s="90" t="s">
        <v>59</v>
      </c>
      <c r="D143" s="101"/>
    </row>
    <row r="144" spans="1:4">
      <c r="A144" s="54" t="s">
        <v>226</v>
      </c>
      <c r="B144" s="55" t="s">
        <v>106</v>
      </c>
      <c r="C144" s="90" t="s">
        <v>59</v>
      </c>
      <c r="D144" s="101"/>
    </row>
    <row r="145" spans="1:4">
      <c r="A145" s="80" t="s">
        <v>257</v>
      </c>
      <c r="B145" s="55" t="s">
        <v>281</v>
      </c>
      <c r="C145" s="90" t="s">
        <v>59</v>
      </c>
      <c r="D145" s="101"/>
    </row>
    <row r="146" spans="1:4">
      <c r="A146" s="54" t="s">
        <v>224</v>
      </c>
      <c r="B146" s="55" t="s">
        <v>106</v>
      </c>
      <c r="C146" s="90" t="s">
        <v>59</v>
      </c>
      <c r="D146" s="101"/>
    </row>
    <row r="147" spans="1:4">
      <c r="A147" s="54" t="s">
        <v>196</v>
      </c>
      <c r="B147" s="55" t="s">
        <v>106</v>
      </c>
      <c r="C147" s="90" t="s">
        <v>59</v>
      </c>
      <c r="D147" s="101"/>
    </row>
    <row r="148" spans="1:4">
      <c r="A148" s="54" t="s">
        <v>225</v>
      </c>
      <c r="B148" s="55" t="s">
        <v>106</v>
      </c>
      <c r="C148" s="90" t="s">
        <v>59</v>
      </c>
      <c r="D148" s="101"/>
    </row>
    <row r="149" spans="1:4">
      <c r="A149" s="54" t="s">
        <v>192</v>
      </c>
      <c r="B149" s="55" t="s">
        <v>106</v>
      </c>
      <c r="C149" s="90" t="s">
        <v>59</v>
      </c>
      <c r="D149" s="101"/>
    </row>
    <row r="150" spans="1:4">
      <c r="A150" s="81" t="s">
        <v>195</v>
      </c>
      <c r="B150" s="82" t="s">
        <v>106</v>
      </c>
      <c r="C150" s="90" t="s">
        <v>59</v>
      </c>
      <c r="D150" s="101"/>
    </row>
    <row r="151" spans="1:4">
      <c r="A151" s="54" t="s">
        <v>242</v>
      </c>
      <c r="B151" s="55" t="s">
        <v>106</v>
      </c>
      <c r="C151" s="90" t="s">
        <v>59</v>
      </c>
      <c r="D151" s="101"/>
    </row>
    <row r="152" spans="1:4">
      <c r="A152" s="54" t="s">
        <v>304</v>
      </c>
      <c r="B152" s="55" t="s">
        <v>106</v>
      </c>
      <c r="C152" s="90" t="s">
        <v>59</v>
      </c>
      <c r="D152" s="101"/>
    </row>
    <row r="153" spans="1:4">
      <c r="A153" s="59" t="s">
        <v>119</v>
      </c>
      <c r="B153" s="58" t="s">
        <v>106</v>
      </c>
      <c r="C153" s="90" t="s">
        <v>59</v>
      </c>
      <c r="D153" s="101"/>
    </row>
    <row r="154" spans="1:4">
      <c r="A154" s="65" t="s">
        <v>126</v>
      </c>
      <c r="B154" s="58" t="s">
        <v>135</v>
      </c>
      <c r="C154" s="90" t="s">
        <v>59</v>
      </c>
      <c r="D154" s="101"/>
    </row>
    <row r="155" spans="1:4">
      <c r="A155" s="54" t="s">
        <v>93</v>
      </c>
      <c r="B155" s="58" t="s">
        <v>27</v>
      </c>
      <c r="C155" s="90" t="s">
        <v>163</v>
      </c>
      <c r="D155" s="101"/>
    </row>
    <row r="156" spans="1:4">
      <c r="A156" s="54" t="s">
        <v>94</v>
      </c>
      <c r="B156" s="58" t="s">
        <v>27</v>
      </c>
      <c r="C156" s="90" t="s">
        <v>163</v>
      </c>
      <c r="D156" s="101"/>
    </row>
    <row r="157" spans="1:4">
      <c r="A157" s="66" t="s">
        <v>95</v>
      </c>
      <c r="B157" s="58" t="s">
        <v>27</v>
      </c>
      <c r="C157" s="90" t="s">
        <v>163</v>
      </c>
      <c r="D157" s="101"/>
    </row>
    <row r="158" spans="1:4">
      <c r="A158" s="66" t="s">
        <v>96</v>
      </c>
      <c r="B158" s="58" t="s">
        <v>27</v>
      </c>
      <c r="C158" s="90" t="s">
        <v>163</v>
      </c>
      <c r="D158" s="101"/>
    </row>
    <row r="159" spans="1:4">
      <c r="A159" s="66" t="s">
        <v>97</v>
      </c>
      <c r="B159" s="58" t="s">
        <v>27</v>
      </c>
      <c r="C159" s="90" t="s">
        <v>163</v>
      </c>
      <c r="D159" s="101"/>
    </row>
    <row r="160" spans="1:4">
      <c r="A160" s="54" t="s">
        <v>101</v>
      </c>
      <c r="B160" s="58" t="s">
        <v>27</v>
      </c>
      <c r="C160" s="90" t="s">
        <v>163</v>
      </c>
      <c r="D160" s="101"/>
    </row>
    <row r="161" spans="1:4">
      <c r="A161" s="59" t="s">
        <v>98</v>
      </c>
      <c r="B161" s="67" t="s">
        <v>27</v>
      </c>
      <c r="C161" s="90" t="s">
        <v>163</v>
      </c>
      <c r="D161" s="101"/>
    </row>
    <row r="162" spans="1:4">
      <c r="A162" s="54" t="s">
        <v>102</v>
      </c>
      <c r="B162" s="69" t="s">
        <v>27</v>
      </c>
      <c r="C162" s="90" t="s">
        <v>163</v>
      </c>
      <c r="D162" s="101"/>
    </row>
    <row r="163" spans="1:4">
      <c r="A163" s="54" t="s">
        <v>103</v>
      </c>
      <c r="B163" s="69" t="s">
        <v>27</v>
      </c>
      <c r="C163" s="90" t="s">
        <v>163</v>
      </c>
      <c r="D163" s="101"/>
    </row>
    <row r="164" spans="1:4">
      <c r="A164" s="61" t="s">
        <v>176</v>
      </c>
      <c r="B164" s="62" t="s">
        <v>27</v>
      </c>
      <c r="C164" s="90" t="s">
        <v>163</v>
      </c>
      <c r="D164" s="101"/>
    </row>
    <row r="165" spans="1:4">
      <c r="A165" s="54" t="s">
        <v>234</v>
      </c>
      <c r="B165" s="55" t="s">
        <v>27</v>
      </c>
      <c r="C165" s="90" t="s">
        <v>163</v>
      </c>
      <c r="D165" s="101"/>
    </row>
    <row r="166" spans="1:4">
      <c r="A166" s="54" t="s">
        <v>235</v>
      </c>
      <c r="B166" s="55" t="s">
        <v>27</v>
      </c>
      <c r="C166" s="90" t="s">
        <v>163</v>
      </c>
      <c r="D166" s="101"/>
    </row>
    <row r="167" spans="1:4">
      <c r="A167" s="54" t="s">
        <v>236</v>
      </c>
      <c r="B167" s="55" t="s">
        <v>27</v>
      </c>
      <c r="C167" s="90" t="s">
        <v>163</v>
      </c>
      <c r="D167" s="101"/>
    </row>
    <row r="168" spans="1:4">
      <c r="A168" s="54" t="s">
        <v>237</v>
      </c>
      <c r="B168" s="55" t="s">
        <v>27</v>
      </c>
      <c r="C168" s="90" t="s">
        <v>163</v>
      </c>
      <c r="D168" s="101"/>
    </row>
    <row r="169" spans="1:4">
      <c r="A169" s="54" t="s">
        <v>88</v>
      </c>
      <c r="B169" s="58" t="s">
        <v>281</v>
      </c>
      <c r="C169" s="90" t="s">
        <v>145</v>
      </c>
      <c r="D169" s="101"/>
    </row>
    <row r="170" spans="1:4">
      <c r="A170" s="60" t="s">
        <v>140</v>
      </c>
      <c r="B170" s="55" t="s">
        <v>281</v>
      </c>
      <c r="C170" s="90" t="s">
        <v>145</v>
      </c>
      <c r="D170" s="101"/>
    </row>
    <row r="171" spans="1:4">
      <c r="A171" s="56" t="s">
        <v>305</v>
      </c>
      <c r="B171" s="55" t="s">
        <v>24</v>
      </c>
      <c r="C171" s="90" t="s">
        <v>326</v>
      </c>
      <c r="D171" s="101"/>
    </row>
    <row r="172" spans="1:4">
      <c r="A172" s="54" t="s">
        <v>306</v>
      </c>
      <c r="B172" s="55" t="s">
        <v>24</v>
      </c>
      <c r="C172" s="90" t="s">
        <v>326</v>
      </c>
      <c r="D172" s="101"/>
    </row>
    <row r="173" spans="1:4">
      <c r="A173" s="54" t="s">
        <v>227</v>
      </c>
      <c r="B173" s="55" t="s">
        <v>24</v>
      </c>
      <c r="C173" s="90" t="s">
        <v>326</v>
      </c>
      <c r="D173" s="101"/>
    </row>
    <row r="174" spans="1:4">
      <c r="A174" s="54" t="s">
        <v>241</v>
      </c>
      <c r="B174" s="55" t="s">
        <v>106</v>
      </c>
      <c r="C174" s="90" t="s">
        <v>327</v>
      </c>
      <c r="D174" s="101"/>
    </row>
    <row r="175" spans="1:4">
      <c r="A175" s="59" t="s">
        <v>44</v>
      </c>
      <c r="B175" s="55" t="s">
        <v>24</v>
      </c>
      <c r="C175" s="91" t="s">
        <v>63</v>
      </c>
      <c r="D175" s="101"/>
    </row>
    <row r="176" spans="1:4">
      <c r="A176" s="83" t="s">
        <v>45</v>
      </c>
      <c r="B176" s="84" t="s">
        <v>24</v>
      </c>
      <c r="C176" s="91" t="s">
        <v>63</v>
      </c>
      <c r="D176" s="101"/>
    </row>
    <row r="177" spans="1:4">
      <c r="A177" s="59" t="s">
        <v>46</v>
      </c>
      <c r="B177" s="55" t="s">
        <v>24</v>
      </c>
      <c r="C177" s="91" t="s">
        <v>63</v>
      </c>
      <c r="D177" s="101"/>
    </row>
    <row r="178" spans="1:4">
      <c r="A178" s="59" t="s">
        <v>52</v>
      </c>
      <c r="B178" s="55" t="s">
        <v>24</v>
      </c>
      <c r="C178" s="91" t="s">
        <v>63</v>
      </c>
      <c r="D178" s="101"/>
    </row>
    <row r="179" spans="1:4">
      <c r="A179" s="59" t="s">
        <v>53</v>
      </c>
      <c r="B179" s="55" t="s">
        <v>24</v>
      </c>
      <c r="C179" s="91" t="s">
        <v>63</v>
      </c>
      <c r="D179" s="101"/>
    </row>
    <row r="180" spans="1:4">
      <c r="A180" s="59" t="s">
        <v>67</v>
      </c>
      <c r="B180" s="55" t="s">
        <v>24</v>
      </c>
      <c r="C180" s="91" t="s">
        <v>63</v>
      </c>
      <c r="D180" s="101"/>
    </row>
    <row r="181" spans="1:4">
      <c r="A181" s="59" t="s">
        <v>68</v>
      </c>
      <c r="B181" s="55" t="s">
        <v>24</v>
      </c>
      <c r="C181" s="91" t="s">
        <v>63</v>
      </c>
      <c r="D181" s="101"/>
    </row>
    <row r="182" spans="1:4">
      <c r="A182" s="59" t="s">
        <v>69</v>
      </c>
      <c r="B182" s="55" t="s">
        <v>24</v>
      </c>
      <c r="C182" s="91" t="s">
        <v>63</v>
      </c>
      <c r="D182" s="101"/>
    </row>
    <row r="183" spans="1:4">
      <c r="A183" s="59" t="s">
        <v>74</v>
      </c>
      <c r="B183" s="55" t="s">
        <v>24</v>
      </c>
      <c r="C183" s="91" t="s">
        <v>63</v>
      </c>
      <c r="D183" s="101"/>
    </row>
    <row r="184" spans="1:4">
      <c r="A184" s="59" t="s">
        <v>75</v>
      </c>
      <c r="B184" s="55" t="s">
        <v>24</v>
      </c>
      <c r="C184" s="91" t="s">
        <v>63</v>
      </c>
      <c r="D184" s="101"/>
    </row>
    <row r="185" spans="1:4">
      <c r="A185" s="65" t="s">
        <v>127</v>
      </c>
      <c r="B185" s="55" t="s">
        <v>135</v>
      </c>
      <c r="C185" s="91" t="s">
        <v>63</v>
      </c>
      <c r="D185" s="101"/>
    </row>
    <row r="186" spans="1:4">
      <c r="A186" s="59" t="s">
        <v>128</v>
      </c>
      <c r="B186" s="58" t="s">
        <v>106</v>
      </c>
      <c r="C186" s="90" t="s">
        <v>60</v>
      </c>
      <c r="D186" s="101"/>
    </row>
    <row r="187" spans="1:4">
      <c r="A187" s="54" t="s">
        <v>164</v>
      </c>
      <c r="B187" s="58" t="s">
        <v>135</v>
      </c>
      <c r="C187" s="91" t="s">
        <v>99</v>
      </c>
      <c r="D187" s="101"/>
    </row>
    <row r="188" spans="1:4">
      <c r="A188" s="59" t="s">
        <v>166</v>
      </c>
      <c r="B188" s="58" t="s">
        <v>135</v>
      </c>
      <c r="C188" s="91" t="s">
        <v>99</v>
      </c>
      <c r="D188" s="101"/>
    </row>
    <row r="189" spans="1:4">
      <c r="A189" s="68" t="s">
        <v>179</v>
      </c>
      <c r="B189" s="62" t="s">
        <v>27</v>
      </c>
      <c r="C189" s="91" t="s">
        <v>99</v>
      </c>
      <c r="D189" s="101"/>
    </row>
    <row r="190" spans="1:4">
      <c r="A190" s="59" t="s">
        <v>169</v>
      </c>
      <c r="B190" s="58" t="s">
        <v>135</v>
      </c>
      <c r="C190" s="91" t="s">
        <v>99</v>
      </c>
      <c r="D190" s="101"/>
    </row>
    <row r="191" spans="1:4">
      <c r="A191" s="60" t="s">
        <v>136</v>
      </c>
      <c r="B191" s="55" t="s">
        <v>281</v>
      </c>
      <c r="C191" s="94" t="s">
        <v>57</v>
      </c>
      <c r="D191" s="101"/>
    </row>
    <row r="192" spans="1:4">
      <c r="A192" s="59" t="s">
        <v>115</v>
      </c>
      <c r="B192" s="69" t="s">
        <v>27</v>
      </c>
      <c r="C192" s="94" t="s">
        <v>57</v>
      </c>
      <c r="D192" s="101"/>
    </row>
    <row r="193" spans="1:4">
      <c r="A193" s="59" t="s">
        <v>117</v>
      </c>
      <c r="B193" s="58" t="s">
        <v>27</v>
      </c>
      <c r="C193" s="94" t="s">
        <v>57</v>
      </c>
      <c r="D193" s="101"/>
    </row>
    <row r="194" spans="1:4">
      <c r="A194" s="54" t="s">
        <v>307</v>
      </c>
      <c r="B194" s="55" t="s">
        <v>24</v>
      </c>
      <c r="C194" s="94" t="s">
        <v>57</v>
      </c>
      <c r="D194" s="101"/>
    </row>
    <row r="195" spans="1:4">
      <c r="A195" s="54" t="s">
        <v>25</v>
      </c>
      <c r="B195" s="58" t="s">
        <v>135</v>
      </c>
      <c r="C195" s="94" t="s">
        <v>57</v>
      </c>
      <c r="D195" s="101"/>
    </row>
    <row r="196" spans="1:4">
      <c r="A196" s="54" t="s">
        <v>26</v>
      </c>
      <c r="B196" s="58" t="s">
        <v>135</v>
      </c>
      <c r="C196" s="94" t="s">
        <v>57</v>
      </c>
      <c r="D196" s="101"/>
    </row>
    <row r="197" spans="1:4">
      <c r="A197" s="54" t="s">
        <v>28</v>
      </c>
      <c r="B197" s="58" t="s">
        <v>27</v>
      </c>
      <c r="C197" s="94" t="s">
        <v>57</v>
      </c>
      <c r="D197" s="101"/>
    </row>
    <row r="198" spans="1:4">
      <c r="A198" s="54" t="s">
        <v>146</v>
      </c>
      <c r="B198" s="58" t="s">
        <v>135</v>
      </c>
      <c r="C198" s="94" t="s">
        <v>57</v>
      </c>
      <c r="D198" s="101"/>
    </row>
    <row r="199" spans="1:4">
      <c r="A199" s="54" t="s">
        <v>147</v>
      </c>
      <c r="B199" s="58" t="s">
        <v>135</v>
      </c>
      <c r="C199" s="94" t="s">
        <v>57</v>
      </c>
      <c r="D199" s="101"/>
    </row>
    <row r="200" spans="1:4">
      <c r="A200" s="54" t="s">
        <v>148</v>
      </c>
      <c r="B200" s="58" t="s">
        <v>135</v>
      </c>
      <c r="C200" s="94" t="s">
        <v>57</v>
      </c>
      <c r="D200" s="101"/>
    </row>
    <row r="201" spans="1:4">
      <c r="A201" s="54" t="s">
        <v>30</v>
      </c>
      <c r="B201" s="58" t="s">
        <v>135</v>
      </c>
      <c r="C201" s="94" t="s">
        <v>57</v>
      </c>
      <c r="D201" s="101"/>
    </row>
    <row r="202" spans="1:4">
      <c r="A202" s="54" t="s">
        <v>32</v>
      </c>
      <c r="B202" s="58" t="s">
        <v>135</v>
      </c>
      <c r="C202" s="94" t="s">
        <v>57</v>
      </c>
      <c r="D202" s="101"/>
    </row>
    <row r="203" spans="1:4">
      <c r="A203" s="54" t="s">
        <v>149</v>
      </c>
      <c r="B203" s="58" t="s">
        <v>135</v>
      </c>
      <c r="C203" s="94" t="s">
        <v>57</v>
      </c>
      <c r="D203" s="101"/>
    </row>
    <row r="204" spans="1:4">
      <c r="A204" s="54" t="s">
        <v>151</v>
      </c>
      <c r="B204" s="58" t="s">
        <v>135</v>
      </c>
      <c r="C204" s="94" t="s">
        <v>57</v>
      </c>
      <c r="D204" s="101"/>
    </row>
    <row r="205" spans="1:4">
      <c r="A205" s="54" t="s">
        <v>152</v>
      </c>
      <c r="B205" s="55" t="s">
        <v>24</v>
      </c>
      <c r="C205" s="94" t="s">
        <v>57</v>
      </c>
      <c r="D205" s="101"/>
    </row>
    <row r="206" spans="1:4">
      <c r="A206" s="54" t="s">
        <v>47</v>
      </c>
      <c r="B206" s="58" t="s">
        <v>135</v>
      </c>
      <c r="C206" s="94" t="s">
        <v>57</v>
      </c>
      <c r="D206" s="101"/>
    </row>
    <row r="207" spans="1:4">
      <c r="A207" s="54" t="s">
        <v>153</v>
      </c>
      <c r="B207" s="58" t="s">
        <v>135</v>
      </c>
      <c r="C207" s="94" t="s">
        <v>57</v>
      </c>
      <c r="D207" s="101"/>
    </row>
    <row r="208" spans="1:4">
      <c r="A208" s="54" t="s">
        <v>51</v>
      </c>
      <c r="B208" s="58" t="s">
        <v>135</v>
      </c>
      <c r="C208" s="94" t="s">
        <v>57</v>
      </c>
      <c r="D208" s="101"/>
    </row>
    <row r="209" spans="1:4">
      <c r="A209" s="54" t="s">
        <v>154</v>
      </c>
      <c r="B209" s="58" t="s">
        <v>135</v>
      </c>
      <c r="C209" s="94" t="s">
        <v>57</v>
      </c>
      <c r="D209" s="101"/>
    </row>
    <row r="210" spans="1:4">
      <c r="A210" s="54" t="s">
        <v>73</v>
      </c>
      <c r="B210" s="67" t="s">
        <v>135</v>
      </c>
      <c r="C210" s="94" t="s">
        <v>57</v>
      </c>
      <c r="D210" s="101"/>
    </row>
    <row r="211" spans="1:4">
      <c r="A211" s="54" t="s">
        <v>65</v>
      </c>
      <c r="B211" s="58" t="s">
        <v>135</v>
      </c>
      <c r="C211" s="94" t="s">
        <v>57</v>
      </c>
      <c r="D211" s="101"/>
    </row>
    <row r="212" spans="1:4">
      <c r="A212" s="54" t="s">
        <v>156</v>
      </c>
      <c r="B212" s="58" t="s">
        <v>135</v>
      </c>
      <c r="C212" s="94" t="s">
        <v>57</v>
      </c>
      <c r="D212" s="101"/>
    </row>
    <row r="213" spans="1:4">
      <c r="A213" s="60" t="s">
        <v>137</v>
      </c>
      <c r="B213" s="55" t="s">
        <v>281</v>
      </c>
      <c r="C213" s="94" t="s">
        <v>57</v>
      </c>
      <c r="D213" s="101"/>
    </row>
    <row r="214" spans="1:4">
      <c r="A214" s="54" t="s">
        <v>31</v>
      </c>
      <c r="B214" s="58" t="s">
        <v>281</v>
      </c>
      <c r="C214" s="94" t="s">
        <v>57</v>
      </c>
      <c r="D214" s="101"/>
    </row>
    <row r="215" spans="1:4">
      <c r="A215" s="54" t="s">
        <v>150</v>
      </c>
      <c r="B215" s="58" t="s">
        <v>281</v>
      </c>
      <c r="C215" s="94" t="s">
        <v>57</v>
      </c>
      <c r="D215" s="101"/>
    </row>
    <row r="216" spans="1:4">
      <c r="A216" s="54" t="s">
        <v>50</v>
      </c>
      <c r="B216" s="58" t="s">
        <v>135</v>
      </c>
      <c r="C216" s="94" t="s">
        <v>57</v>
      </c>
      <c r="D216" s="101"/>
    </row>
    <row r="217" spans="1:4">
      <c r="A217" s="54" t="s">
        <v>34</v>
      </c>
      <c r="B217" s="55" t="s">
        <v>24</v>
      </c>
      <c r="C217" s="94" t="s">
        <v>57</v>
      </c>
      <c r="D217" s="101"/>
    </row>
    <row r="218" spans="1:4">
      <c r="A218" s="54" t="s">
        <v>36</v>
      </c>
      <c r="B218" s="55" t="s">
        <v>24</v>
      </c>
      <c r="C218" s="94" t="s">
        <v>57</v>
      </c>
      <c r="D218" s="101"/>
    </row>
    <row r="219" spans="1:4">
      <c r="A219" s="54" t="s">
        <v>29</v>
      </c>
      <c r="B219" s="58" t="s">
        <v>135</v>
      </c>
      <c r="C219" s="94" t="s">
        <v>57</v>
      </c>
      <c r="D219" s="101"/>
    </row>
    <row r="220" spans="1:4">
      <c r="A220" s="54" t="s">
        <v>35</v>
      </c>
      <c r="B220" s="55" t="s">
        <v>24</v>
      </c>
      <c r="C220" s="94" t="s">
        <v>57</v>
      </c>
      <c r="D220" s="101"/>
    </row>
    <row r="221" spans="1:4">
      <c r="A221" s="80" t="s">
        <v>308</v>
      </c>
      <c r="B221" s="55" t="s">
        <v>24</v>
      </c>
      <c r="C221" s="90" t="s">
        <v>328</v>
      </c>
      <c r="D221" s="101"/>
    </row>
    <row r="222" spans="1:4">
      <c r="A222" s="54" t="s">
        <v>309</v>
      </c>
      <c r="B222" s="55" t="s">
        <v>24</v>
      </c>
      <c r="C222" s="90" t="s">
        <v>328</v>
      </c>
      <c r="D222" s="101"/>
    </row>
    <row r="223" spans="1:4">
      <c r="A223" s="68" t="s">
        <v>177</v>
      </c>
      <c r="B223" s="62" t="s">
        <v>27</v>
      </c>
      <c r="C223" s="95" t="s">
        <v>100</v>
      </c>
      <c r="D223" s="101"/>
    </row>
    <row r="224" spans="1:4">
      <c r="A224" s="54" t="s">
        <v>161</v>
      </c>
      <c r="B224" s="58" t="s">
        <v>135</v>
      </c>
      <c r="C224" s="95" t="s">
        <v>100</v>
      </c>
      <c r="D224" s="101"/>
    </row>
    <row r="225" spans="1:4">
      <c r="A225" s="54" t="s">
        <v>23</v>
      </c>
      <c r="B225" s="55" t="s">
        <v>24</v>
      </c>
      <c r="C225" s="95" t="s">
        <v>100</v>
      </c>
      <c r="D225" s="101"/>
    </row>
    <row r="226" spans="1:4">
      <c r="A226" s="56" t="s">
        <v>228</v>
      </c>
      <c r="B226" s="55" t="s">
        <v>27</v>
      </c>
      <c r="C226" s="90" t="s">
        <v>229</v>
      </c>
      <c r="D226" s="101"/>
    </row>
    <row r="227" spans="1:4">
      <c r="A227" s="54" t="s">
        <v>159</v>
      </c>
      <c r="B227" s="58" t="s">
        <v>135</v>
      </c>
      <c r="C227" s="91" t="s">
        <v>62</v>
      </c>
      <c r="D227" s="101"/>
    </row>
    <row r="228" spans="1:4">
      <c r="A228" s="65" t="s">
        <v>182</v>
      </c>
      <c r="B228" s="55" t="s">
        <v>24</v>
      </c>
      <c r="C228" s="90" t="s">
        <v>58</v>
      </c>
      <c r="D228" s="101"/>
    </row>
    <row r="229" spans="1:4">
      <c r="A229" s="65" t="s">
        <v>338</v>
      </c>
      <c r="B229" s="55" t="s">
        <v>24</v>
      </c>
      <c r="C229" s="90" t="s">
        <v>58</v>
      </c>
      <c r="D229" s="101"/>
    </row>
    <row r="230" spans="1:4">
      <c r="A230" s="65" t="s">
        <v>183</v>
      </c>
      <c r="B230" s="55" t="s">
        <v>24</v>
      </c>
      <c r="C230" s="90" t="s">
        <v>58</v>
      </c>
      <c r="D230" s="101"/>
    </row>
    <row r="231" spans="1:4">
      <c r="A231" s="54" t="s">
        <v>273</v>
      </c>
      <c r="B231" s="55" t="s">
        <v>24</v>
      </c>
      <c r="C231" s="90" t="s">
        <v>58</v>
      </c>
      <c r="D231" s="101"/>
    </row>
    <row r="232" spans="1:4">
      <c r="A232" s="54" t="s">
        <v>249</v>
      </c>
      <c r="B232" s="55" t="s">
        <v>106</v>
      </c>
      <c r="C232" s="90" t="s">
        <v>58</v>
      </c>
      <c r="D232" s="101"/>
    </row>
    <row r="233" spans="1:4">
      <c r="A233" s="59" t="s">
        <v>89</v>
      </c>
      <c r="B233" s="55" t="s">
        <v>24</v>
      </c>
      <c r="C233" s="90" t="s">
        <v>58</v>
      </c>
      <c r="D233" s="101"/>
    </row>
    <row r="234" spans="1:4">
      <c r="A234" s="59" t="s">
        <v>121</v>
      </c>
      <c r="B234" s="55" t="s">
        <v>24</v>
      </c>
      <c r="C234" s="90" t="s">
        <v>58</v>
      </c>
      <c r="D234" s="101"/>
    </row>
    <row r="235" spans="1:4">
      <c r="A235" s="59" t="s">
        <v>168</v>
      </c>
      <c r="B235" s="58" t="s">
        <v>106</v>
      </c>
      <c r="C235" s="90" t="s">
        <v>329</v>
      </c>
      <c r="D235" s="101"/>
    </row>
    <row r="236" spans="1:4">
      <c r="A236" s="59" t="s">
        <v>118</v>
      </c>
      <c r="B236" s="69" t="s">
        <v>24</v>
      </c>
      <c r="C236" s="96" t="s">
        <v>330</v>
      </c>
      <c r="D236" s="101"/>
    </row>
    <row r="237" spans="1:4">
      <c r="A237" s="59" t="s">
        <v>112</v>
      </c>
      <c r="B237" s="67" t="s">
        <v>106</v>
      </c>
      <c r="C237" s="91" t="s">
        <v>331</v>
      </c>
      <c r="D237" s="101"/>
    </row>
    <row r="238" spans="1:4">
      <c r="A238" s="59" t="s">
        <v>160</v>
      </c>
      <c r="B238" s="67" t="s">
        <v>135</v>
      </c>
      <c r="C238" s="91" t="s">
        <v>331</v>
      </c>
      <c r="D238" s="101"/>
    </row>
    <row r="239" spans="1:4">
      <c r="A239" s="59" t="s">
        <v>333</v>
      </c>
      <c r="B239" s="58" t="s">
        <v>281</v>
      </c>
      <c r="C239" s="91" t="s">
        <v>291</v>
      </c>
      <c r="D239" s="101"/>
    </row>
    <row r="240" spans="1:4">
      <c r="A240" s="59" t="s">
        <v>256</v>
      </c>
      <c r="B240" s="58" t="s">
        <v>281</v>
      </c>
      <c r="C240" s="89" t="s">
        <v>310</v>
      </c>
      <c r="D240" s="101"/>
    </row>
    <row r="241" spans="1:4">
      <c r="A241" s="59" t="s">
        <v>335</v>
      </c>
      <c r="B241" s="58" t="s">
        <v>336</v>
      </c>
      <c r="C241" s="89" t="s">
        <v>337</v>
      </c>
      <c r="D241" s="101"/>
    </row>
    <row r="242" spans="1:4">
      <c r="A242" s="59" t="s">
        <v>339</v>
      </c>
      <c r="B242" s="58" t="s">
        <v>24</v>
      </c>
      <c r="C242" s="89" t="s">
        <v>337</v>
      </c>
      <c r="D242" s="101"/>
    </row>
    <row r="243" spans="1:4">
      <c r="A243" s="59" t="s">
        <v>340</v>
      </c>
      <c r="B243" s="69" t="s">
        <v>341</v>
      </c>
      <c r="C243" s="97" t="s">
        <v>337</v>
      </c>
      <c r="D243" s="101"/>
    </row>
    <row r="244" spans="1:4">
      <c r="A244" s="59" t="s">
        <v>342</v>
      </c>
      <c r="B244" s="69" t="s">
        <v>341</v>
      </c>
      <c r="C244" s="97" t="s">
        <v>337</v>
      </c>
      <c r="D244" s="101"/>
    </row>
    <row r="245" spans="1:4">
      <c r="A245" s="51" t="s">
        <v>343</v>
      </c>
      <c r="B245" s="69" t="s">
        <v>281</v>
      </c>
      <c r="C245" s="97" t="s">
        <v>337</v>
      </c>
      <c r="D245" s="101"/>
    </row>
    <row r="246" spans="1:4">
      <c r="A246" s="51" t="s">
        <v>344</v>
      </c>
      <c r="B246" s="69" t="s">
        <v>281</v>
      </c>
      <c r="C246" s="97" t="s">
        <v>337</v>
      </c>
      <c r="D246" s="101"/>
    </row>
    <row r="247" spans="1:4">
      <c r="A247" s="51" t="s">
        <v>345</v>
      </c>
      <c r="B247" s="69" t="s">
        <v>281</v>
      </c>
      <c r="C247" s="97" t="s">
        <v>337</v>
      </c>
      <c r="D247" s="101"/>
    </row>
    <row r="248" spans="1:4">
      <c r="A248" s="59" t="s">
        <v>347</v>
      </c>
      <c r="B248" s="69" t="s">
        <v>346</v>
      </c>
      <c r="C248" s="97" t="s">
        <v>350</v>
      </c>
      <c r="D248" s="101"/>
    </row>
    <row r="249" spans="1:4">
      <c r="A249" s="59" t="s">
        <v>348</v>
      </c>
      <c r="B249" s="69" t="s">
        <v>346</v>
      </c>
      <c r="C249" s="97" t="s">
        <v>350</v>
      </c>
      <c r="D249" s="101"/>
    </row>
    <row r="250" spans="1:4">
      <c r="A250" s="59" t="s">
        <v>349</v>
      </c>
      <c r="B250" s="69" t="s">
        <v>346</v>
      </c>
      <c r="C250" s="97" t="s">
        <v>350</v>
      </c>
      <c r="D250" s="101"/>
    </row>
    <row r="251" spans="1:4">
      <c r="A251" s="51" t="s">
        <v>351</v>
      </c>
      <c r="B251" s="87" t="s">
        <v>281</v>
      </c>
      <c r="C251" s="97" t="s">
        <v>350</v>
      </c>
      <c r="D251" s="101"/>
    </row>
    <row r="252" spans="1:4">
      <c r="A252" s="51" t="s">
        <v>352</v>
      </c>
      <c r="B252" s="87" t="s">
        <v>281</v>
      </c>
      <c r="C252" s="97" t="s">
        <v>350</v>
      </c>
      <c r="D252" s="101"/>
    </row>
    <row r="253" spans="1:4">
      <c r="A253" s="85" t="s">
        <v>353</v>
      </c>
      <c r="B253" s="87" t="s">
        <v>281</v>
      </c>
      <c r="C253" s="97" t="s">
        <v>350</v>
      </c>
      <c r="D253" s="101"/>
    </row>
    <row r="254" spans="1:4">
      <c r="A254" s="51" t="s">
        <v>354</v>
      </c>
      <c r="B254" s="87" t="s">
        <v>281</v>
      </c>
      <c r="C254" s="97" t="s">
        <v>350</v>
      </c>
      <c r="D254" s="101"/>
    </row>
    <row r="255" spans="1:4">
      <c r="A255" s="86" t="s">
        <v>355</v>
      </c>
      <c r="B255" s="87" t="s">
        <v>24</v>
      </c>
      <c r="C255" s="98" t="s">
        <v>356</v>
      </c>
      <c r="D255" s="101"/>
    </row>
    <row r="256" spans="1:4">
      <c r="A256" s="51" t="s">
        <v>379</v>
      </c>
      <c r="B256" s="52" t="s">
        <v>106</v>
      </c>
      <c r="C256" s="98" t="s">
        <v>393</v>
      </c>
      <c r="D256" s="101"/>
    </row>
    <row r="257" spans="1:4">
      <c r="A257" s="51" t="s">
        <v>380</v>
      </c>
      <c r="B257" s="52" t="s">
        <v>135</v>
      </c>
      <c r="C257" s="98" t="s">
        <v>393</v>
      </c>
      <c r="D257" s="101"/>
    </row>
    <row r="258" spans="1:4">
      <c r="A258" s="165" t="s">
        <v>381</v>
      </c>
      <c r="B258" s="164" t="s">
        <v>135</v>
      </c>
      <c r="C258" s="98" t="s">
        <v>393</v>
      </c>
      <c r="D258" s="101"/>
    </row>
    <row r="259" spans="1:4">
      <c r="A259" s="165"/>
      <c r="B259" s="164" t="s">
        <v>135</v>
      </c>
      <c r="C259" s="98" t="s">
        <v>393</v>
      </c>
      <c r="D259" s="101"/>
    </row>
    <row r="260" spans="1:4">
      <c r="A260" s="165" t="s">
        <v>382</v>
      </c>
      <c r="B260" s="164" t="s">
        <v>391</v>
      </c>
      <c r="C260" s="98" t="s">
        <v>393</v>
      </c>
      <c r="D260" s="101"/>
    </row>
    <row r="261" spans="1:4">
      <c r="A261" s="165"/>
      <c r="B261" s="164"/>
      <c r="C261" s="98" t="s">
        <v>393</v>
      </c>
      <c r="D261" s="101"/>
    </row>
    <row r="262" spans="1:4">
      <c r="A262" s="165"/>
      <c r="B262" s="164"/>
      <c r="C262" s="98" t="s">
        <v>393</v>
      </c>
      <c r="D262" s="101"/>
    </row>
    <row r="263" spans="1:4">
      <c r="A263" s="165" t="s">
        <v>383</v>
      </c>
      <c r="B263" s="164" t="s">
        <v>135</v>
      </c>
      <c r="C263" s="98" t="s">
        <v>393</v>
      </c>
      <c r="D263" s="101"/>
    </row>
    <row r="264" spans="1:4">
      <c r="A264" s="165"/>
      <c r="B264" s="164"/>
      <c r="C264" s="98" t="s">
        <v>393</v>
      </c>
      <c r="D264" s="101"/>
    </row>
    <row r="265" spans="1:4">
      <c r="A265" s="51" t="s">
        <v>384</v>
      </c>
      <c r="B265" s="52" t="s">
        <v>106</v>
      </c>
      <c r="C265" s="98" t="s">
        <v>393</v>
      </c>
      <c r="D265" s="101"/>
    </row>
    <row r="266" spans="1:4">
      <c r="A266" s="51" t="s">
        <v>385</v>
      </c>
      <c r="B266" s="52" t="s">
        <v>24</v>
      </c>
      <c r="C266" s="98" t="s">
        <v>393</v>
      </c>
      <c r="D266" s="101"/>
    </row>
    <row r="267" spans="1:4">
      <c r="A267" s="51" t="s">
        <v>386</v>
      </c>
      <c r="B267" s="52" t="s">
        <v>24</v>
      </c>
      <c r="C267" s="98" t="s">
        <v>393</v>
      </c>
      <c r="D267" s="101"/>
    </row>
    <row r="268" spans="1:4">
      <c r="A268" s="51" t="s">
        <v>387</v>
      </c>
      <c r="B268" s="52" t="s">
        <v>24</v>
      </c>
      <c r="C268" s="98" t="s">
        <v>393</v>
      </c>
      <c r="D268" s="101"/>
    </row>
    <row r="269" spans="1:4">
      <c r="A269" s="165" t="s">
        <v>388</v>
      </c>
      <c r="B269" s="164" t="s">
        <v>391</v>
      </c>
      <c r="C269" s="98" t="s">
        <v>393</v>
      </c>
      <c r="D269" s="101"/>
    </row>
    <row r="270" spans="1:4">
      <c r="A270" s="165"/>
      <c r="B270" s="164"/>
      <c r="C270" s="98" t="s">
        <v>393</v>
      </c>
      <c r="D270" s="101"/>
    </row>
    <row r="271" spans="1:4">
      <c r="A271" s="165"/>
      <c r="B271" s="164"/>
      <c r="C271" s="98" t="s">
        <v>393</v>
      </c>
      <c r="D271" s="101"/>
    </row>
    <row r="272" spans="1:4">
      <c r="A272" s="51" t="s">
        <v>389</v>
      </c>
      <c r="B272" s="52" t="s">
        <v>392</v>
      </c>
      <c r="C272" s="98" t="s">
        <v>393</v>
      </c>
      <c r="D272" s="101"/>
    </row>
    <row r="273" spans="1:4">
      <c r="A273" s="51" t="s">
        <v>390</v>
      </c>
      <c r="B273" s="52" t="s">
        <v>135</v>
      </c>
      <c r="C273" s="98" t="s">
        <v>393</v>
      </c>
      <c r="D273" s="101"/>
    </row>
  </sheetData>
  <autoFilter ref="A1:C250"/>
  <mergeCells count="8">
    <mergeCell ref="B263:B264"/>
    <mergeCell ref="B269:B271"/>
    <mergeCell ref="A258:A259"/>
    <mergeCell ref="A260:A262"/>
    <mergeCell ref="A263:A264"/>
    <mergeCell ref="A269:A271"/>
    <mergeCell ref="B258:B259"/>
    <mergeCell ref="B260:B262"/>
  </mergeCells>
  <phoneticPr fontId="9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8"/>
  <sheetViews>
    <sheetView workbookViewId="0">
      <selection activeCell="B14" sqref="B14"/>
    </sheetView>
  </sheetViews>
  <sheetFormatPr defaultRowHeight="15"/>
  <cols>
    <col min="1" max="1" width="23.85546875" bestFit="1" customWidth="1"/>
    <col min="2" max="2" width="114.42578125" customWidth="1"/>
  </cols>
  <sheetData>
    <row r="1" spans="1:2">
      <c r="A1" s="46" t="s">
        <v>363</v>
      </c>
      <c r="B1" s="46" t="s">
        <v>364</v>
      </c>
    </row>
    <row r="2" spans="1:2">
      <c r="A2" s="48" t="s">
        <v>357</v>
      </c>
      <c r="B2" s="49" t="s">
        <v>358</v>
      </c>
    </row>
    <row r="3" spans="1:2">
      <c r="A3" s="48" t="s">
        <v>359</v>
      </c>
      <c r="B3" s="49" t="s">
        <v>360</v>
      </c>
    </row>
    <row r="4" spans="1:2">
      <c r="A4" s="48" t="s">
        <v>361</v>
      </c>
      <c r="B4" s="49" t="s">
        <v>362</v>
      </c>
    </row>
    <row r="5" spans="1:2">
      <c r="A5" s="48" t="s">
        <v>366</v>
      </c>
      <c r="B5" s="49" t="s">
        <v>365</v>
      </c>
    </row>
    <row r="6" spans="1:2" ht="72.75" customHeight="1">
      <c r="A6" s="166" t="s">
        <v>375</v>
      </c>
      <c r="B6" s="166"/>
    </row>
    <row r="7" spans="1:2" ht="18" customHeight="1">
      <c r="A7" s="48" t="s">
        <v>376</v>
      </c>
      <c r="B7" s="49" t="s">
        <v>377</v>
      </c>
    </row>
    <row r="8" spans="1:2" ht="59.25" customHeight="1">
      <c r="A8" s="167" t="s">
        <v>378</v>
      </c>
      <c r="B8" s="167"/>
    </row>
  </sheetData>
  <sheetProtection sheet="1" objects="1" scenarios="1"/>
  <mergeCells count="2">
    <mergeCell ref="A6:B6"/>
    <mergeCell ref="A8:B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aveAsJsonOfJIRA">
                <anchor moveWithCells="1" sizeWithCells="1">
                  <from>
                    <xdr:col>1</xdr:col>
                    <xdr:colOff>1238250</xdr:colOff>
                    <xdr:row>5</xdr:row>
                    <xdr:rowOff>514350</xdr:rowOff>
                  </from>
                  <to>
                    <xdr:col>1</xdr:col>
                    <xdr:colOff>2695575</xdr:colOff>
                    <xdr:row>5</xdr:row>
                    <xdr:rowOff>800100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UploadJsonFile">
                <anchor moveWithCells="1" sizeWithCells="1">
                  <from>
                    <xdr:col>1</xdr:col>
                    <xdr:colOff>1257300</xdr:colOff>
                    <xdr:row>7</xdr:row>
                    <xdr:rowOff>361950</xdr:rowOff>
                  </from>
                  <to>
                    <xdr:col>1</xdr:col>
                    <xdr:colOff>3133725</xdr:colOff>
                    <xdr:row>7</xdr:row>
                    <xdr:rowOff>619125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Summary</vt:lpstr>
      <vt:lpstr>Final Report</vt:lpstr>
      <vt:lpstr>Legend</vt:lpstr>
      <vt:lpstr>BPT ownership</vt:lpstr>
      <vt:lpstr>SaveAsJsonOfJIRA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zhang;yu-tao.zhang@hpe.com</dc:creator>
  <cp:lastModifiedBy>Yu-Tao Zhang</cp:lastModifiedBy>
  <dcterms:created xsi:type="dcterms:W3CDTF">2006-09-16T00:00:00Z</dcterms:created>
  <dcterms:modified xsi:type="dcterms:W3CDTF">2015-11-18T13:11:57Z</dcterms:modified>
</cp:coreProperties>
</file>